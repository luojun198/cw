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/>
  </bookViews>
  <sheets>
    <sheet name="工会事业单位收入支出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<sst xmlns="http://schemas.openxmlformats.org/spreadsheetml/2006/main" count="319" uniqueCount="167">
  <si>
    <t>收 入 费 用 表</t>
  </si>
  <si>
    <t>%YH%MH%DH</t>
  </si>
  <si>
    <t>会政财02表</t>
  </si>
  <si>
    <t xml:space="preserve">编制单位:%U      </t>
  </si>
  <si>
    <t xml:space="preserve">                   单位:元</t>
  </si>
  <si>
    <t xml:space="preserve">项 目 </t>
  </si>
  <si>
    <t xml:space="preserve">本月数 </t>
  </si>
  <si>
    <t xml:space="preserve">本年累计数 </t>
  </si>
  <si>
    <t>一、本期收入</t>
  </si>
  <si>
    <t xml:space="preserve">（一）财政拨款收入 </t>
  </si>
  <si>
    <t>@jqy(4001,99,99)</t>
  </si>
  <si>
    <t>@jqy(4001,01,99)</t>
  </si>
  <si>
    <t xml:space="preserve">      其中：政府性基金收入</t>
  </si>
  <si>
    <t>@jqy(400102,99,99)</t>
  </si>
  <si>
    <t>@jqy(400102,01,99)</t>
  </si>
  <si>
    <t xml:space="preserve">（二）事业收入 </t>
  </si>
  <si>
    <t>@jqy(4101,99,99)</t>
  </si>
  <si>
    <t>@jqy(4101,01,99)</t>
  </si>
  <si>
    <t xml:space="preserve">（三）上级补助收入 </t>
  </si>
  <si>
    <t>@jqy(4201,99,99)</t>
  </si>
  <si>
    <t>@jqy(4201,01,99)</t>
  </si>
  <si>
    <t xml:space="preserve">（四）附属单位上缴收入 </t>
  </si>
  <si>
    <t>@jqy(4301,99,99)</t>
  </si>
  <si>
    <t>@jqy(4301,01,99)</t>
  </si>
  <si>
    <t xml:space="preserve">（五）经营收入 </t>
  </si>
  <si>
    <t>@jqy(4401,99,99)</t>
  </si>
  <si>
    <t>@jqy(4401,01,99)</t>
  </si>
  <si>
    <t xml:space="preserve">（六）非同级财政拨款收入 </t>
  </si>
  <si>
    <t>@jqy(4601,99,99)</t>
  </si>
  <si>
    <t>@jqy(4601,01,99)</t>
  </si>
  <si>
    <t xml:space="preserve">（七）投资收益 </t>
  </si>
  <si>
    <t>@jqy(4602,99,99)</t>
  </si>
  <si>
    <t>@jqy(4602,01,99)</t>
  </si>
  <si>
    <t xml:space="preserve">（八）捐赠收入 </t>
  </si>
  <si>
    <t>@jqy(4603,99,99)</t>
  </si>
  <si>
    <t>@jqy(4603,01,99)</t>
  </si>
  <si>
    <t xml:space="preserve">（九）利息收入 </t>
  </si>
  <si>
    <t>@jqy(4604,99,99)</t>
  </si>
  <si>
    <t>@jqy(4604,01,99)</t>
  </si>
  <si>
    <t xml:space="preserve">（十）租金收入 </t>
  </si>
  <si>
    <t>@jqy(4605,99,99)</t>
  </si>
  <si>
    <t>@jqy(4605,01,99)</t>
  </si>
  <si>
    <t xml:space="preserve">（十一）其他收入 </t>
  </si>
  <si>
    <t>@jqy(4609,99,99)</t>
  </si>
  <si>
    <t>@jqy(4609,01,99)</t>
  </si>
  <si>
    <t>二、本期费用</t>
  </si>
  <si>
    <t>（一）业务活动费用</t>
  </si>
  <si>
    <t>@jqy(5001,99,99)</t>
  </si>
  <si>
    <t>@jqy(5001,01,99)</t>
  </si>
  <si>
    <t>（二）单位管理费用</t>
  </si>
  <si>
    <t>@jqy(5101,99,99)</t>
  </si>
  <si>
    <t>@jqy(5101,01,99)</t>
  </si>
  <si>
    <t>（三）经营费用</t>
  </si>
  <si>
    <t>@jqy(5201,99,99)</t>
  </si>
  <si>
    <t>@jqy(5201,01,99)</t>
  </si>
  <si>
    <t>（四）资产处置费用</t>
  </si>
  <si>
    <t>@jqy(5301,99,99)</t>
  </si>
  <si>
    <t>@jqy(5301,01,99)</t>
  </si>
  <si>
    <t>（五）上缴上级费用</t>
  </si>
  <si>
    <t>@jqy(5401,99,99)</t>
  </si>
  <si>
    <t>@jqy(5401,01,99)</t>
  </si>
  <si>
    <t>（六）对附属单位补助费用</t>
  </si>
  <si>
    <t>@jqy(5501,99,99)</t>
  </si>
  <si>
    <t>@jqy(5501,01,99)</t>
  </si>
  <si>
    <t>（七）所得税费用</t>
  </si>
  <si>
    <t>@jqy(5801,99,99)</t>
  </si>
  <si>
    <t>@jqy(5801,01,99)</t>
  </si>
  <si>
    <t>（八）其他费用</t>
  </si>
  <si>
    <t>@jqy(5901,99,99)</t>
  </si>
  <si>
    <t>@jqy(5901,01,99)</t>
  </si>
  <si>
    <t>三、本期盈余</t>
  </si>
  <si>
    <t>单位负责人：</t>
  </si>
  <si>
    <t>财务负责人：</t>
  </si>
  <si>
    <t xml:space="preserve"> 制表：</t>
  </si>
  <si>
    <t>会事业02表</t>
  </si>
  <si>
    <t xml:space="preserve">     单位:元</t>
  </si>
  <si>
    <t>单位:元</t>
  </si>
  <si>
    <t>本年累计数</t>
  </si>
  <si>
    <t>编</t>
  </si>
  <si>
    <t>支    出</t>
  </si>
  <si>
    <t>结    余</t>
  </si>
  <si>
    <t>号</t>
  </si>
  <si>
    <t>项    目</t>
  </si>
  <si>
    <t>本期发生额</t>
  </si>
  <si>
    <t>累计发生额</t>
  </si>
  <si>
    <t>拨出经费</t>
  </si>
  <si>
    <t>@JQY(501,99,99)</t>
  </si>
  <si>
    <t>@JQY(501,1,99)</t>
  </si>
  <si>
    <t>事业结余</t>
  </si>
  <si>
    <t>ÀÛ¼ÆÍê³ÉÊý</t>
  </si>
  <si>
    <t>上缴上级支出</t>
  </si>
  <si>
    <t>@JQY(516,99,99)</t>
  </si>
  <si>
    <t>@JQY(516,1,99)</t>
  </si>
  <si>
    <t>1.正常收支结余</t>
  </si>
  <si>
    <t>对附属单位补助</t>
  </si>
  <si>
    <t>@JQY(517,99,99)</t>
  </si>
  <si>
    <t>@JQY(517,1,99)</t>
  </si>
  <si>
    <t>2.收回以前年度</t>
  </si>
  <si>
    <t>@jqy(4202,01,99)</t>
  </si>
  <si>
    <t>事业支出</t>
  </si>
  <si>
    <t>@JQY(504,99,99)</t>
  </si>
  <si>
    <t>@JQY(504,1,99)</t>
  </si>
  <si>
    <t>结转自筹基建</t>
  </si>
  <si>
    <t>@JQY(520,99,99)</t>
  </si>
  <si>
    <t>@JQY(520,1,99)</t>
  </si>
  <si>
    <t>小  计</t>
  </si>
  <si>
    <t>经营支出</t>
  </si>
  <si>
    <t>@JQY(505,99,99)</t>
  </si>
  <si>
    <t>@JQY(505,1,99)</t>
  </si>
  <si>
    <t>经营结余</t>
  </si>
  <si>
    <t>@jqy(5102,01,99)</t>
  </si>
  <si>
    <t>销售税金</t>
  </si>
  <si>
    <t>@JQY(512,99,99)</t>
  </si>
  <si>
    <t>@JQY(512,1,99)</t>
  </si>
  <si>
    <t>减(-)以前年度</t>
  </si>
  <si>
    <t>@jqy(530101,01,99)</t>
  </si>
  <si>
    <t xml:space="preserve"> </t>
  </si>
  <si>
    <t>拨出专款</t>
  </si>
  <si>
    <t>@JQY(502,99,99)</t>
  </si>
  <si>
    <t>@JQY(502,1,99)</t>
  </si>
  <si>
    <t>结余分配</t>
  </si>
  <si>
    <t>专款支出</t>
  </si>
  <si>
    <t>@JQY(503,99,99)</t>
  </si>
  <si>
    <t>@JQY(503,1,99)</t>
  </si>
  <si>
    <t>1.应交所得税</t>
  </si>
  <si>
    <t>2.提取专用基金</t>
  </si>
  <si>
    <t>3.转入事业基金</t>
  </si>
  <si>
    <t>4.其他</t>
  </si>
  <si>
    <t>@jqy(530102,01,99)</t>
  </si>
  <si>
    <t>总    计</t>
  </si>
  <si>
    <t>@ye(3301,99)</t>
  </si>
  <si>
    <t>@ye(3104,99)</t>
  </si>
  <si>
    <t>财务负责人:</t>
  </si>
  <si>
    <t>制表:</t>
  </si>
  <si>
    <t>@ye(3102,99)</t>
  </si>
  <si>
    <t>@ye(3001,99)</t>
  </si>
  <si>
    <t>合    计</t>
  </si>
  <si>
    <t>收 入 支 出 表</t>
  </si>
  <si>
    <t>2014年01月31日</t>
  </si>
  <si>
    <t>2009年04月14日</t>
  </si>
  <si>
    <t xml:space="preserve">编制单位:长汀县第二中学   </t>
  </si>
  <si>
    <t xml:space="preserve">一、本期财政补助结转结余 </t>
  </si>
  <si>
    <t xml:space="preserve"> 财政补助收入 </t>
  </si>
  <si>
    <t xml:space="preserve"> 减：事业支出（财政补助支出） </t>
  </si>
  <si>
    <t xml:space="preserve">二、本期事业结转结余 </t>
  </si>
  <si>
    <t xml:space="preserve">（一）事业类收入 </t>
  </si>
  <si>
    <t xml:space="preserve">  1.事业收入 </t>
  </si>
  <si>
    <t xml:space="preserve">  2.上级补助收入 </t>
  </si>
  <si>
    <t xml:space="preserve">  3.附属单位上缴收入 </t>
  </si>
  <si>
    <t xml:space="preserve">  4.其他收入 </t>
  </si>
  <si>
    <t xml:space="preserve">   其中：捐赠收入 </t>
  </si>
  <si>
    <t xml:space="preserve">减：（二）事业类支出 </t>
  </si>
  <si>
    <t xml:space="preserve"> 1.事业支出（非财政补助支出） </t>
  </si>
  <si>
    <t xml:space="preserve"> 2.上缴上级支出 </t>
  </si>
  <si>
    <t xml:space="preserve"> 3对附属单位补助支出 </t>
  </si>
  <si>
    <t xml:space="preserve"> 4.其他支出 </t>
  </si>
  <si>
    <t xml:space="preserve">三、本期经营结余 </t>
  </si>
  <si>
    <t xml:space="preserve"> 经营收入 </t>
  </si>
  <si>
    <t xml:space="preserve"> 减：经营支出 </t>
  </si>
  <si>
    <t xml:space="preserve">四、弥补以前年度亏损后的经营结余 </t>
  </si>
  <si>
    <t xml:space="preserve">五、本年非财政补助结转结余 </t>
  </si>
  <si>
    <t xml:space="preserve"> 减：非财政补助结转 </t>
  </si>
  <si>
    <t xml:space="preserve">六、本年非财政补助结余 </t>
  </si>
  <si>
    <t xml:space="preserve"> 减：应缴企业所得税 </t>
  </si>
  <si>
    <t xml:space="preserve"> 减：提取专用基金 </t>
  </si>
  <si>
    <t xml:space="preserve">七、转入事业基金 </t>
  </si>
  <si>
    <t>制表：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</si>
</sst>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8">
    <font>
      <sz val="12"/>
      <color indexed="8"/>
      <name val="Arial"/>
      <charset val="0"/>
    </font>
    <font>
      <b/>
      <sz val="24"/>
      <name val="仿宋"/>
      <charset val="134"/>
    </font>
    <font>
      <sz val="12"/>
      <name val="仿宋"/>
      <charset val="134"/>
    </font>
    <font>
      <b/>
      <sz val="16"/>
      <name val="宋体"/>
      <charset val="134"/>
    </font>
    <font>
      <sz val="15"/>
      <name val="Arial"/>
      <charset val="0"/>
    </font>
    <font>
      <sz val="10"/>
      <name val="宋体"/>
      <charset val="134"/>
    </font>
    <font>
      <sz val="11"/>
      <name val="宋体"/>
      <charset val="134"/>
    </font>
    <font>
      <b/>
      <sz val="12"/>
      <name val="仿宋"/>
      <charset val="134"/>
    </font>
    <font>
      <b/>
      <sz val="11"/>
      <name val="宋体"/>
      <charset val="134"/>
    </font>
    <font>
      <sz val="9"/>
      <name val="宋体"/>
      <charset val="0"/>
    </font>
    <font>
      <sz val="9"/>
      <name val="Arial"/>
      <charset val="0"/>
    </font>
    <font>
      <b/>
      <sz val="10"/>
      <name val="宋体"/>
      <charset val="134"/>
    </font>
    <font>
      <b/>
      <sz val="2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仿宋"/>
      <charset val="0"/>
    </font>
    <font>
      <sz val="12"/>
      <color indexed="8"/>
      <name val="宋体"/>
      <charset val="134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Protection="0"/>
    <xf numFmtId="177" fontId="17" fillId="0" borderId="0" applyFont="0" applyFill="0" applyProtection="0"/>
    <xf numFmtId="9" fontId="17" fillId="0" borderId="0" applyFont="0" applyFill="0" applyProtection="0"/>
    <xf numFmtId="178" fontId="17" fillId="0" borderId="0" applyFont="0" applyFill="0" applyProtection="0"/>
    <xf numFmtId="179" fontId="17" fillId="0" borderId="0" applyFont="0" applyFill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21" applyNumberFormat="0" applyAlignment="0" applyProtection="0">
      <alignment vertical="center"/>
    </xf>
    <xf numFmtId="0" fontId="28" fillId="4" borderId="22" applyNumberFormat="0" applyAlignment="0" applyProtection="0">
      <alignment vertical="center"/>
    </xf>
    <xf numFmtId="0" fontId="29" fillId="4" borderId="21" applyNumberFormat="0" applyAlignment="0" applyProtection="0">
      <alignment vertical="center"/>
    </xf>
    <xf numFmtId="0" fontId="30" fillId="5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NumberFormat="1" applyFont="1" applyFill="1" applyAlignment="1" applyProtection="1">
      <alignment horizontal="centerContinuous" vertical="center"/>
    </xf>
    <xf numFmtId="0" fontId="2" fillId="0" borderId="0" xfId="0" applyNumberFormat="1" applyFont="1" applyFill="1" applyAlignment="1" applyProtection="1">
      <alignment horizontal="centerContinuous" vertical="center"/>
    </xf>
    <xf numFmtId="0" fontId="3" fillId="0" borderId="0" xfId="0" applyNumberFormat="1" applyFont="1" applyFill="1" applyAlignment="1" applyProtection="1">
      <alignment horizontal="centerContinuous" vertical="center"/>
    </xf>
    <xf numFmtId="0" fontId="4" fillId="0" borderId="0" xfId="0" applyFont="1" applyBorder="1" applyAlignment="1">
      <alignment horizontal="centerContinuous"/>
    </xf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6" fillId="0" borderId="0" xfId="0" applyNumberFormat="1" applyFont="1" applyFill="1" applyAlignment="1" applyProtection="1"/>
    <xf numFmtId="0" fontId="0" fillId="0" borderId="0" xfId="0" applyBorder="1"/>
    <xf numFmtId="0" fontId="2" fillId="0" borderId="0" xfId="0" applyNumberFormat="1" applyFont="1" applyFill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vertical="center"/>
    </xf>
    <xf numFmtId="0" fontId="8" fillId="0" borderId="2" xfId="0" applyNumberFormat="1" applyFont="1" applyFill="1" applyBorder="1" applyAlignment="1" applyProtection="1">
      <alignment horizontal="centerContinuous" vertical="center"/>
    </xf>
    <xf numFmtId="0" fontId="8" fillId="0" borderId="3" xfId="0" applyNumberFormat="1" applyFont="1" applyFill="1" applyBorder="1" applyAlignment="1" applyProtection="1">
      <alignment horizontal="centerContinuous" vertical="center"/>
    </xf>
    <xf numFmtId="0" fontId="8" fillId="0" borderId="4" xfId="0" applyNumberFormat="1" applyFont="1" applyFill="1" applyBorder="1" applyAlignment="1" applyProtection="1">
      <alignment horizontal="centerContinuous" vertical="center"/>
    </xf>
    <xf numFmtId="0" fontId="5" fillId="0" borderId="5" xfId="0" applyNumberFormat="1" applyFont="1" applyFill="1" applyBorder="1" applyAlignment="1" applyProtection="1">
      <alignment horizontal="centerContinuous" vertical="center"/>
    </xf>
    <xf numFmtId="0" fontId="5" fillId="0" borderId="3" xfId="0" applyNumberFormat="1" applyFont="1" applyFill="1" applyBorder="1" applyAlignment="1" applyProtection="1">
      <alignment horizontal="centerContinuous" vertical="center"/>
    </xf>
    <xf numFmtId="0" fontId="8" fillId="0" borderId="6" xfId="0" applyNumberFormat="1" applyFont="1" applyFill="1" applyBorder="1" applyAlignment="1" applyProtection="1">
      <alignment horizontal="centerContinuous" vertical="center"/>
    </xf>
    <xf numFmtId="0" fontId="7" fillId="0" borderId="4" xfId="0" applyNumberFormat="1" applyFont="1" applyFill="1" applyBorder="1" applyAlignment="1" applyProtection="1">
      <alignment vertical="center"/>
    </xf>
    <xf numFmtId="180" fontId="2" fillId="0" borderId="6" xfId="0" applyNumberFormat="1" applyFont="1" applyFill="1" applyBorder="1" applyAlignment="1" applyProtection="1">
      <alignment vertical="center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0" fillId="0" borderId="10" xfId="0" applyBorder="1" applyAlignment="1">
      <alignment horizontal="centerContinuous" vertical="center"/>
    </xf>
    <xf numFmtId="0" fontId="2" fillId="0" borderId="11" xfId="0" applyNumberFormat="1" applyFont="1" applyFill="1" applyBorder="1" applyAlignment="1" applyProtection="1">
      <alignment vertical="center"/>
    </xf>
    <xf numFmtId="180" fontId="2" fillId="0" borderId="4" xfId="0" applyNumberFormat="1" applyFont="1" applyFill="1" applyBorder="1" applyAlignment="1" applyProtection="1">
      <alignment vertical="center"/>
    </xf>
    <xf numFmtId="180" fontId="5" fillId="0" borderId="4" xfId="0" applyNumberFormat="1" applyFont="1" applyFill="1" applyBorder="1" applyAlignment="1" applyProtection="1">
      <alignment horizontal="right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left" vertical="center"/>
    </xf>
    <xf numFmtId="180" fontId="5" fillId="0" borderId="2" xfId="0" applyNumberFormat="1" applyFont="1" applyFill="1" applyBorder="1" applyAlignment="1" applyProtection="1">
      <alignment horizontal="right" vertical="center"/>
    </xf>
    <xf numFmtId="0" fontId="9" fillId="0" borderId="13" xfId="0" applyFont="1" applyBorder="1" applyAlignment="1">
      <alignment horizontal="center" vertical="center"/>
    </xf>
    <xf numFmtId="0" fontId="2" fillId="0" borderId="3" xfId="0" applyNumberFormat="1" applyFont="1" applyFill="1" applyBorder="1" applyAlignment="1" applyProtection="1">
      <alignment vertical="center"/>
    </xf>
    <xf numFmtId="0" fontId="5" fillId="0" borderId="14" xfId="0" applyNumberFormat="1" applyFont="1" applyFill="1" applyBorder="1" applyAlignment="1" applyProtection="1">
      <alignment horizontal="left" vertical="center"/>
    </xf>
    <xf numFmtId="0" fontId="10" fillId="0" borderId="1" xfId="0" applyFont="1" applyBorder="1"/>
    <xf numFmtId="0" fontId="0" fillId="0" borderId="13" xfId="0" applyBorder="1"/>
    <xf numFmtId="0" fontId="2" fillId="0" borderId="2" xfId="0" applyNumberFormat="1" applyFont="1" applyFill="1" applyBorder="1" applyAlignment="1" applyProtection="1">
      <alignment vertical="center"/>
    </xf>
    <xf numFmtId="0" fontId="5" fillId="0" borderId="15" xfId="0" applyNumberFormat="1" applyFont="1" applyFill="1" applyBorder="1" applyAlignment="1" applyProtection="1">
      <alignment horizontal="left" vertical="center"/>
    </xf>
    <xf numFmtId="0" fontId="0" fillId="0" borderId="16" xfId="0" applyBorder="1"/>
    <xf numFmtId="0" fontId="5" fillId="0" borderId="0" xfId="0" applyNumberFormat="1" applyFont="1" applyFill="1" applyAlignment="1" applyProtection="1">
      <alignment horizontal="center" vertical="center"/>
    </xf>
    <xf numFmtId="0" fontId="11" fillId="0" borderId="2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11" fillId="0" borderId="3" xfId="0" applyNumberFormat="1" applyFont="1" applyFill="1" applyBorder="1" applyAlignment="1" applyProtection="1">
      <alignment horizontal="center" vertical="center"/>
    </xf>
    <xf numFmtId="0" fontId="0" fillId="0" borderId="17" xfId="0" applyBorder="1"/>
    <xf numFmtId="180" fontId="5" fillId="0" borderId="8" xfId="0" applyNumberFormat="1" applyFont="1" applyFill="1" applyBorder="1" applyAlignment="1" applyProtection="1">
      <alignment horizontal="right" vertical="center"/>
    </xf>
    <xf numFmtId="0" fontId="8" fillId="0" borderId="14" xfId="0" applyNumberFormat="1" applyFont="1" applyFill="1" applyBorder="1" applyAlignment="1" applyProtection="1">
      <alignment horizontal="centerContinuous" vertical="center"/>
    </xf>
    <xf numFmtId="180" fontId="5" fillId="0" borderId="11" xfId="0" applyNumberFormat="1" applyFont="1" applyFill="1" applyBorder="1" applyAlignment="1" applyProtection="1">
      <alignment horizontal="right" vertical="center"/>
    </xf>
    <xf numFmtId="0" fontId="5" fillId="0" borderId="9" xfId="0" applyNumberFormat="1" applyFont="1" applyFill="1" applyBorder="1" applyAlignment="1" applyProtection="1">
      <alignment horizontal="right" vertical="center"/>
    </xf>
    <xf numFmtId="0" fontId="6" fillId="0" borderId="2" xfId="0" applyNumberFormat="1" applyFont="1" applyFill="1" applyBorder="1" applyAlignment="1" applyProtection="1"/>
    <xf numFmtId="0" fontId="5" fillId="0" borderId="0" xfId="0" applyNumberFormat="1" applyFont="1" applyFill="1" applyAlignment="1" applyProtection="1">
      <alignment horizontal="right" vertical="center"/>
    </xf>
    <xf numFmtId="0" fontId="5" fillId="0" borderId="4" xfId="0" applyNumberFormat="1" applyFont="1" applyFill="1" applyBorder="1" applyAlignment="1" applyProtection="1">
      <alignment horizontal="left" vertical="center"/>
    </xf>
    <xf numFmtId="0" fontId="2" fillId="0" borderId="7" xfId="0" applyNumberFormat="1" applyFont="1" applyFill="1" applyBorder="1" applyAlignment="1" applyProtection="1">
      <alignment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/>
    <xf numFmtId="0" fontId="12" fillId="0" borderId="0" xfId="0" applyNumberFormat="1" applyFont="1" applyFill="1" applyAlignment="1" applyProtection="1">
      <alignment horizontal="centerContinuous" vertical="center"/>
    </xf>
    <xf numFmtId="0" fontId="13" fillId="0" borderId="0" xfId="0" applyNumberFormat="1" applyFont="1" applyFill="1" applyAlignment="1" applyProtection="1">
      <alignment horizontal="centerContinuous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right" vertical="center"/>
    </xf>
    <xf numFmtId="0" fontId="13" fillId="0" borderId="0" xfId="0" applyNumberFormat="1" applyFont="1" applyFill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14" fillId="0" borderId="2" xfId="0" applyNumberFormat="1" applyFont="1" applyFill="1" applyBorder="1" applyAlignment="1" applyProtection="1">
      <alignment vertical="center"/>
    </xf>
    <xf numFmtId="180" fontId="5" fillId="0" borderId="6" xfId="0" applyNumberFormat="1" applyFont="1" applyFill="1" applyBorder="1" applyAlignment="1" applyProtection="1">
      <alignment horizontal="right" vertical="center"/>
    </xf>
    <xf numFmtId="180" fontId="2" fillId="0" borderId="4" xfId="0" applyNumberFormat="1" applyFont="1" applyFill="1" applyBorder="1" applyAlignment="1" applyProtection="1"/>
    <xf numFmtId="0" fontId="13" fillId="0" borderId="11" xfId="0" applyNumberFormat="1" applyFont="1" applyFill="1" applyBorder="1" applyAlignment="1" applyProtection="1">
      <alignment vertical="center"/>
    </xf>
    <xf numFmtId="0" fontId="13" fillId="0" borderId="3" xfId="0" applyNumberFormat="1" applyFont="1" applyFill="1" applyBorder="1" applyAlignment="1" applyProtection="1">
      <alignment vertical="center"/>
    </xf>
    <xf numFmtId="0" fontId="13" fillId="0" borderId="2" xfId="0" applyNumberFormat="1" applyFont="1" applyFill="1" applyBorder="1" applyAlignment="1" applyProtection="1">
      <alignment vertical="center"/>
    </xf>
    <xf numFmtId="180" fontId="15" fillId="0" borderId="4" xfId="0" applyNumberFormat="1" applyFont="1" applyFill="1" applyBorder="1" applyAlignment="1" applyProtection="1"/>
    <xf numFmtId="180" fontId="5" fillId="0" borderId="1" xfId="0" applyNumberFormat="1" applyFont="1" applyFill="1" applyBorder="1" applyAlignment="1" applyProtection="1">
      <alignment horizontal="right" vertical="center"/>
    </xf>
    <xf numFmtId="180" fontId="11" fillId="0" borderId="4" xfId="0" applyNumberFormat="1" applyFont="1" applyFill="1" applyBorder="1" applyAlignment="1" applyProtection="1">
      <alignment horizontal="right" vertical="center"/>
    </xf>
    <xf numFmtId="0" fontId="15" fillId="0" borderId="0" xfId="0" applyNumberFormat="1" applyFont="1" applyFill="1" applyAlignment="1" applyProtection="1"/>
    <xf numFmtId="0" fontId="16" fillId="0" borderId="0" xfId="0" applyFont="1"/>
    <xf numFmtId="0" fontId="13" fillId="0" borderId="0" xfId="0" applyNumberFormat="1" applyFont="1" applyFill="1" applyAlignment="1" applyProtection="1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9"/>
  <sheetViews>
    <sheetView showGridLines="0" showOutlineSymbols="0" tabSelected="1" zoomScaleSheetLayoutView="60" workbookViewId="0">
      <selection activeCell="A1" sqref="A1:C29"/>
    </sheetView>
  </sheetViews>
  <sheetFormatPr defaultColWidth="9.14814814814815" defaultRowHeight="25.15" customHeight="1"/>
  <cols>
    <col min="1" max="1" width="32.4444444444444" style="55" customWidth="1"/>
    <col min="2" max="2" width="21.2222222222222" style="55" customWidth="1"/>
    <col min="3" max="3" width="23.6666666666667" style="55" customWidth="1"/>
    <col min="4" max="4" width="17.3333333333333" style="55" customWidth="1"/>
    <col min="5" max="5" width="3.88888888888889" style="55" customWidth="1"/>
    <col min="6" max="6" width="12.6" style="55" customWidth="1"/>
    <col min="7" max="8" width="10.2222222222222" style="55" customWidth="1"/>
    <col min="9" max="9" width="3.88888888888889" style="55" customWidth="1"/>
    <col min="10" max="10" width="12.6" style="55" customWidth="1"/>
    <col min="11" max="12" width="10.2222222222222" style="55" customWidth="1"/>
    <col min="13" max="16384" width="9.14814814814815" style="55" customWidth="1"/>
  </cols>
  <sheetData>
    <row r="1" ht="43.5" customHeight="1" spans="1:19">
      <c r="A1" s="56" t="s">
        <v>0</v>
      </c>
      <c r="B1" s="57"/>
      <c r="C1" s="57"/>
      <c r="L1" s="2"/>
    </row>
    <row r="2" customHeight="1" spans="1:19">
      <c r="A2" s="58"/>
      <c r="B2" s="58" t="s">
        <v>1</v>
      </c>
      <c r="C2" s="59" t="s">
        <v>2</v>
      </c>
      <c r="E2" s="5"/>
    </row>
    <row r="3" s="75" customFormat="1" ht="24" customHeight="1" spans="1:19">
      <c r="A3" s="60" t="s">
        <v>3</v>
      </c>
      <c r="B3" s="60"/>
      <c r="C3" s="60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="75" customFormat="1" ht="24" customHeight="1" spans="1:19">
      <c r="A4" s="61" t="s">
        <v>5</v>
      </c>
      <c r="B4" s="61" t="s">
        <v>6</v>
      </c>
      <c r="C4" s="61" t="s">
        <v>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="75" customFormat="1" ht="24" customHeight="1" spans="1:19">
      <c r="A5" s="63" t="s">
        <v>8</v>
      </c>
      <c r="B5" s="28" t="e">
        <f>B6+B8+B9+B10+B11+B12+B13+B14+B15+B16+B17</f>
        <v>#VALUE!</v>
      </c>
      <c r="C5" s="64" t="e">
        <f>C6+C8+C9+C10+C11+C12+C13+C14+C15+C16+C17</f>
        <v>#VALUE!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="75" customFormat="1" ht="24" customHeight="1" spans="1:19">
      <c r="A6" s="66" t="s">
        <v>9</v>
      </c>
      <c r="B6" s="28" t="s">
        <v>10</v>
      </c>
      <c r="C6" s="28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="75" customFormat="1" ht="24" customHeight="1" spans="1:19">
      <c r="A7" s="67" t="s">
        <v>12</v>
      </c>
      <c r="B7" s="28" t="s">
        <v>13</v>
      </c>
      <c r="C7" s="28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="75" customFormat="1" ht="24" customHeight="1" spans="1:19">
      <c r="A8" s="68" t="s">
        <v>15</v>
      </c>
      <c r="B8" s="28" t="s">
        <v>16</v>
      </c>
      <c r="C8" s="28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="75" customFormat="1" ht="24" customHeight="1" spans="1:19">
      <c r="A9" s="68" t="s">
        <v>18</v>
      </c>
      <c r="B9" s="28" t="s">
        <v>19</v>
      </c>
      <c r="C9" s="28" t="s">
        <v>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="75" customFormat="1" ht="24" customHeight="1" spans="1:19">
      <c r="A10" s="68" t="s">
        <v>21</v>
      </c>
      <c r="B10" s="28" t="s">
        <v>22</v>
      </c>
      <c r="C10" s="28" t="s">
        <v>23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="75" customFormat="1" ht="24" customHeight="1" spans="1:19">
      <c r="A11" s="66" t="s">
        <v>24</v>
      </c>
      <c r="B11" s="28" t="s">
        <v>25</v>
      </c>
      <c r="C11" s="28" t="s">
        <v>26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="75" customFormat="1" ht="24" customHeight="1" spans="1:19">
      <c r="A12" s="66" t="s">
        <v>27</v>
      </c>
      <c r="B12" s="28" t="s">
        <v>28</v>
      </c>
      <c r="C12" s="28" t="s">
        <v>29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="75" customFormat="1" ht="24" customHeight="1" spans="1:19">
      <c r="A13" s="66" t="s">
        <v>30</v>
      </c>
      <c r="B13" s="28" t="s">
        <v>31</v>
      </c>
      <c r="C13" s="28" t="s">
        <v>32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="75" customFormat="1" ht="24" customHeight="1" spans="1:19">
      <c r="A14" s="68" t="s">
        <v>33</v>
      </c>
      <c r="B14" s="28" t="s">
        <v>34</v>
      </c>
      <c r="C14" s="28" t="s">
        <v>35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="75" customFormat="1" ht="24" customHeight="1" spans="1:19">
      <c r="A15" s="68" t="s">
        <v>36</v>
      </c>
      <c r="B15" s="28" t="s">
        <v>37</v>
      </c>
      <c r="C15" s="28" t="s">
        <v>38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="75" customFormat="1" ht="24" customHeight="1" spans="1:19">
      <c r="A16" s="68" t="s">
        <v>39</v>
      </c>
      <c r="B16" s="28" t="s">
        <v>40</v>
      </c>
      <c r="C16" s="28" t="s">
        <v>41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="75" customFormat="1" ht="24" customHeight="1" spans="1:19">
      <c r="A17" s="68" t="s">
        <v>42</v>
      </c>
      <c r="B17" s="28" t="s">
        <v>43</v>
      </c>
      <c r="C17" s="28" t="s">
        <v>44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="75" customFormat="1" ht="24" customHeight="1" spans="1:19">
      <c r="A18" s="63" t="s">
        <v>45</v>
      </c>
      <c r="B18" s="28" t="e">
        <f>B19+B20+B21+B22+B23+B24+B25+B26</f>
        <v>#VALUE!</v>
      </c>
      <c r="C18" s="28" t="e">
        <f>C19+C20+C21+C22+C23+C24+C25+C26</f>
        <v>#VALUE!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="75" customFormat="1" ht="24" customHeight="1" spans="1:19">
      <c r="A19" s="66" t="s">
        <v>46</v>
      </c>
      <c r="B19" s="28" t="s">
        <v>47</v>
      </c>
      <c r="C19" s="28" t="s">
        <v>48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="75" customFormat="1" ht="24" customHeight="1" spans="1:19">
      <c r="A20" s="66" t="s">
        <v>49</v>
      </c>
      <c r="B20" s="28" t="s">
        <v>50</v>
      </c>
      <c r="C20" s="28" t="s">
        <v>51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="75" customFormat="1" ht="24" customHeight="1" spans="1:19">
      <c r="A21" s="66" t="s">
        <v>52</v>
      </c>
      <c r="B21" s="28" t="s">
        <v>53</v>
      </c>
      <c r="C21" s="28" t="s">
        <v>54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="75" customFormat="1" ht="24" customHeight="1" spans="1:19">
      <c r="A22" s="66" t="s">
        <v>55</v>
      </c>
      <c r="B22" s="28" t="s">
        <v>56</v>
      </c>
      <c r="C22" s="28" t="s">
        <v>57</v>
      </c>
      <c r="D22" s="10"/>
      <c r="E22" s="10"/>
    </row>
    <row r="23" s="75" customFormat="1" ht="24" customHeight="1" spans="1:19">
      <c r="A23" s="66" t="s">
        <v>58</v>
      </c>
      <c r="B23" s="28" t="s">
        <v>59</v>
      </c>
      <c r="C23" s="28" t="s">
        <v>60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="75" customFormat="1" ht="24" customHeight="1" spans="1:19">
      <c r="A24" s="66" t="s">
        <v>61</v>
      </c>
      <c r="B24" s="28" t="s">
        <v>62</v>
      </c>
      <c r="C24" s="28" t="s">
        <v>63</v>
      </c>
      <c r="D24" s="10"/>
      <c r="E24" s="10"/>
    </row>
    <row r="25" s="75" customFormat="1" ht="24" customHeight="1" spans="1:19">
      <c r="A25" s="66" t="s">
        <v>64</v>
      </c>
      <c r="B25" s="28" t="s">
        <v>65</v>
      </c>
      <c r="C25" s="28" t="s">
        <v>66</v>
      </c>
      <c r="D25" s="10"/>
      <c r="E25" s="10"/>
    </row>
    <row r="26" s="75" customFormat="1" ht="24" customHeight="1" spans="1:19">
      <c r="A26" s="66" t="s">
        <v>67</v>
      </c>
      <c r="B26" s="70" t="s">
        <v>68</v>
      </c>
      <c r="C26" s="70" t="s">
        <v>69</v>
      </c>
      <c r="D26" s="10"/>
      <c r="E26" s="10"/>
    </row>
    <row r="27" s="75" customFormat="1" ht="24" customHeight="1" spans="1:19">
      <c r="A27" s="63" t="s">
        <v>70</v>
      </c>
      <c r="B27" s="71" t="e">
        <f>B5-B18</f>
        <v>#VALUE!</v>
      </c>
      <c r="C27" s="71" t="e">
        <f>C5-C18</f>
        <v>#VALUE!</v>
      </c>
      <c r="D27" s="10"/>
      <c r="E27" s="10"/>
    </row>
    <row r="28" s="75" customFormat="1" ht="24" customHeight="1" spans="1:19">
      <c r="A28" s="60" t="s">
        <v>71</v>
      </c>
      <c r="B28" s="60" t="s">
        <v>72</v>
      </c>
      <c r="C28" s="60" t="s">
        <v>73</v>
      </c>
      <c r="D28" s="10"/>
    </row>
    <row r="29" ht="12.75" customHeight="1" spans="1:19">
      <c r="A29" s="73"/>
      <c r="B29" s="74"/>
      <c r="C29" s="74"/>
    </row>
  </sheetData>
  <printOptions horizontalCentered="1" verticalCentered="1"/>
  <pageMargins left="0" right="0" top="0" bottom="0" header="0" footer="0"/>
  <pageSetup paperSize="9" orientation="portrait" horizontalDpi="18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SheetLayoutView="60" workbookViewId="0">
      <selection activeCell="A1" sqref="A1:C29"/>
    </sheetView>
  </sheetViews>
  <sheetFormatPr defaultColWidth="9.14814814814815" defaultRowHeight="15"/>
  <cols>
    <col min="1" max="16384" width="9.14814814814815" customWidth="1"/>
  </cols>
  <sheetData>
    <row r="1" ht="31.5" spans="1:13">
      <c r="A1" s="56" t="s">
        <v>0</v>
      </c>
      <c r="B1" s="57"/>
      <c r="C1" s="57"/>
      <c r="D1" s="2"/>
      <c r="E1" s="3"/>
      <c r="F1" s="3"/>
      <c r="G1" s="3"/>
      <c r="H1" s="3"/>
      <c r="I1" s="3"/>
      <c r="J1" s="3"/>
      <c r="K1" s="3"/>
      <c r="L1" s="3"/>
      <c r="M1" s="4"/>
    </row>
    <row r="2" spans="1:13">
      <c r="A2" s="58"/>
      <c r="B2" s="58" t="s">
        <v>1</v>
      </c>
      <c r="C2" s="59" t="s">
        <v>2</v>
      </c>
      <c r="D2" s="6" t="s">
        <v>74</v>
      </c>
      <c r="E2" s="7"/>
      <c r="F2" s="8"/>
      <c r="G2" s="7" t="s">
        <v>1</v>
      </c>
      <c r="H2" s="7"/>
      <c r="I2" s="7"/>
      <c r="J2" s="7"/>
      <c r="K2" s="7" t="s">
        <v>75</v>
      </c>
      <c r="L2" s="7"/>
      <c r="M2" s="9"/>
    </row>
    <row r="3" spans="1:13">
      <c r="A3" s="60" t="s">
        <v>3</v>
      </c>
      <c r="B3" s="60"/>
      <c r="C3" s="60" t="s">
        <v>4</v>
      </c>
      <c r="D3" s="6" t="s">
        <v>76</v>
      </c>
      <c r="E3" s="7"/>
      <c r="F3" s="8"/>
      <c r="G3" s="7"/>
      <c r="H3" s="7"/>
      <c r="I3" s="7"/>
      <c r="J3" s="7"/>
      <c r="K3" s="7"/>
      <c r="L3" s="7"/>
      <c r="M3" s="9"/>
    </row>
    <row r="4" ht="15.75" spans="1:13">
      <c r="A4" s="61" t="s">
        <v>5</v>
      </c>
      <c r="B4" s="61" t="s">
        <v>6</v>
      </c>
      <c r="C4" s="61" t="s">
        <v>7</v>
      </c>
      <c r="D4" s="62" t="s">
        <v>77</v>
      </c>
      <c r="E4" s="13" t="s">
        <v>78</v>
      </c>
      <c r="F4" s="14" t="s">
        <v>79</v>
      </c>
      <c r="G4" s="15"/>
      <c r="H4" s="16"/>
      <c r="I4" s="13" t="s">
        <v>78</v>
      </c>
      <c r="J4" s="14" t="s">
        <v>80</v>
      </c>
      <c r="K4" s="17"/>
      <c r="L4" s="15"/>
      <c r="M4" s="9"/>
    </row>
    <row r="5" spans="1:13">
      <c r="A5" s="63" t="s">
        <v>8</v>
      </c>
      <c r="B5" s="28" t="e">
        <f>B6+B8+B9+B10+B11+B12+B13+B14+B15+B16+B17</f>
        <v>#VALUE!</v>
      </c>
      <c r="C5" s="64" t="e">
        <f>C6+C8+C9+C10+C11+C12+C13+C14+C15+C16+C17</f>
        <v>#VALUE!</v>
      </c>
      <c r="D5" s="65">
        <f>SUM(D6:D10)</f>
        <v>0</v>
      </c>
      <c r="E5" s="21" t="s">
        <v>81</v>
      </c>
      <c r="F5" s="22" t="s">
        <v>82</v>
      </c>
      <c r="G5" s="23" t="s">
        <v>83</v>
      </c>
      <c r="H5" s="23" t="s">
        <v>84</v>
      </c>
      <c r="I5" s="21" t="s">
        <v>81</v>
      </c>
      <c r="J5" s="22" t="s">
        <v>82</v>
      </c>
      <c r="K5" s="20" t="s">
        <v>83</v>
      </c>
      <c r="L5" s="24" t="s">
        <v>84</v>
      </c>
      <c r="M5" s="25"/>
    </row>
    <row r="6" spans="1:13">
      <c r="A6" s="66" t="s">
        <v>9</v>
      </c>
      <c r="B6" s="28" t="s">
        <v>10</v>
      </c>
      <c r="C6" s="28" t="s">
        <v>11</v>
      </c>
      <c r="D6" s="65" t="s">
        <v>11</v>
      </c>
      <c r="E6" s="29">
        <v>501</v>
      </c>
      <c r="F6" s="30" t="s">
        <v>85</v>
      </c>
      <c r="G6" s="28" t="s">
        <v>86</v>
      </c>
      <c r="H6" s="28" t="s">
        <v>87</v>
      </c>
      <c r="I6" s="29">
        <v>306</v>
      </c>
      <c r="J6" s="30" t="s">
        <v>88</v>
      </c>
      <c r="K6" s="31" t="e">
        <f>C12-G12</f>
        <v>#VALUE!</v>
      </c>
      <c r="L6" s="28" t="e">
        <f>D12-H12</f>
        <v>#VALUE!</v>
      </c>
      <c r="M6" s="32" t="s">
        <v>89</v>
      </c>
    </row>
    <row r="7" spans="1:13">
      <c r="A7" s="67" t="s">
        <v>12</v>
      </c>
      <c r="B7" s="28" t="s">
        <v>13</v>
      </c>
      <c r="C7" s="28" t="s">
        <v>14</v>
      </c>
      <c r="D7" s="65" t="s">
        <v>17</v>
      </c>
      <c r="E7" s="29">
        <v>516</v>
      </c>
      <c r="F7" s="34" t="s">
        <v>90</v>
      </c>
      <c r="G7" s="28" t="s">
        <v>91</v>
      </c>
      <c r="H7" s="28" t="s">
        <v>92</v>
      </c>
      <c r="I7" s="29"/>
      <c r="J7" s="34" t="s">
        <v>93</v>
      </c>
      <c r="K7" s="31"/>
      <c r="L7" s="28"/>
      <c r="M7" s="35">
        <f>E11-I11</f>
        <v>0</v>
      </c>
    </row>
    <row r="8" spans="1:13">
      <c r="A8" s="68" t="s">
        <v>15</v>
      </c>
      <c r="B8" s="28" t="s">
        <v>16</v>
      </c>
      <c r="C8" s="28" t="s">
        <v>17</v>
      </c>
      <c r="D8" s="65" t="s">
        <v>20</v>
      </c>
      <c r="E8" s="29">
        <v>517</v>
      </c>
      <c r="F8" s="34" t="s">
        <v>94</v>
      </c>
      <c r="G8" s="28" t="s">
        <v>95</v>
      </c>
      <c r="H8" s="28" t="s">
        <v>96</v>
      </c>
      <c r="I8" s="29"/>
      <c r="J8" s="34" t="s">
        <v>97</v>
      </c>
      <c r="K8" s="31"/>
      <c r="L8" s="28"/>
      <c r="M8" s="36"/>
    </row>
    <row r="9" spans="1:13">
      <c r="A9" s="68" t="s">
        <v>18</v>
      </c>
      <c r="B9" s="28" t="s">
        <v>19</v>
      </c>
      <c r="C9" s="28" t="s">
        <v>20</v>
      </c>
      <c r="D9" s="65" t="s">
        <v>98</v>
      </c>
      <c r="E9" s="29">
        <v>504</v>
      </c>
      <c r="F9" s="34" t="s">
        <v>99</v>
      </c>
      <c r="G9" s="28" t="s">
        <v>100</v>
      </c>
      <c r="H9" s="28" t="s">
        <v>101</v>
      </c>
      <c r="I9" s="29"/>
      <c r="J9" s="8"/>
      <c r="K9" s="31"/>
      <c r="L9" s="28"/>
      <c r="M9" s="36"/>
    </row>
    <row r="10" spans="1:13">
      <c r="A10" s="68" t="s">
        <v>21</v>
      </c>
      <c r="B10" s="28" t="s">
        <v>22</v>
      </c>
      <c r="C10" s="28" t="s">
        <v>23</v>
      </c>
      <c r="D10" s="65" t="s">
        <v>26</v>
      </c>
      <c r="E10" s="29">
        <v>520</v>
      </c>
      <c r="F10" s="34" t="s">
        <v>102</v>
      </c>
      <c r="G10" s="28" t="s">
        <v>103</v>
      </c>
      <c r="H10" s="28" t="s">
        <v>104</v>
      </c>
      <c r="I10" s="29"/>
      <c r="J10" s="34"/>
      <c r="K10" s="31"/>
      <c r="L10" s="28"/>
      <c r="M10" s="36"/>
    </row>
    <row r="11" spans="1:13">
      <c r="A11" s="66" t="s">
        <v>24</v>
      </c>
      <c r="B11" s="28" t="s">
        <v>25</v>
      </c>
      <c r="C11" s="28" t="s">
        <v>26</v>
      </c>
      <c r="D11" s="65">
        <f>SUM(D12:D15)</f>
        <v>0</v>
      </c>
      <c r="E11" s="29"/>
      <c r="F11" s="38"/>
      <c r="G11" s="28"/>
      <c r="H11" s="28"/>
      <c r="I11" s="29"/>
      <c r="J11" s="34"/>
      <c r="K11" s="31"/>
      <c r="L11" s="28"/>
      <c r="M11" s="39"/>
    </row>
    <row r="12" spans="1:13">
      <c r="A12" s="66" t="s">
        <v>27</v>
      </c>
      <c r="B12" s="28" t="s">
        <v>28</v>
      </c>
      <c r="C12" s="28" t="s">
        <v>29</v>
      </c>
      <c r="D12" s="65" t="s">
        <v>48</v>
      </c>
      <c r="E12" s="40"/>
      <c r="F12" s="41" t="s">
        <v>105</v>
      </c>
      <c r="G12" s="28" t="e">
        <f>G6+G7+G8+G9+G10+G11</f>
        <v>#VALUE!</v>
      </c>
      <c r="H12" s="28" t="e">
        <f>H6+H7+H8+H9+H10+H11</f>
        <v>#VALUE!</v>
      </c>
      <c r="I12" s="29"/>
      <c r="J12" s="34"/>
      <c r="K12" s="31"/>
      <c r="L12" s="28"/>
      <c r="M12" s="35">
        <f>E12-I12</f>
        <v>0</v>
      </c>
    </row>
    <row r="13" spans="1:13">
      <c r="A13" s="66" t="s">
        <v>30</v>
      </c>
      <c r="B13" s="28" t="s">
        <v>31</v>
      </c>
      <c r="C13" s="28" t="s">
        <v>32</v>
      </c>
      <c r="D13" s="65" t="s">
        <v>51</v>
      </c>
      <c r="E13" s="42">
        <v>505</v>
      </c>
      <c r="F13" s="30" t="s">
        <v>106</v>
      </c>
      <c r="G13" s="28" t="s">
        <v>107</v>
      </c>
      <c r="H13" s="28" t="s">
        <v>108</v>
      </c>
      <c r="I13" s="42">
        <v>307</v>
      </c>
      <c r="J13" s="34" t="s">
        <v>109</v>
      </c>
      <c r="K13" s="31" t="e">
        <f>C15-G15</f>
        <v>#VALUE!</v>
      </c>
      <c r="L13" s="28" t="e">
        <f>D15-H15</f>
        <v>#VALUE!</v>
      </c>
      <c r="M13" s="36"/>
    </row>
    <row r="14" spans="1:13">
      <c r="A14" s="68" t="s">
        <v>33</v>
      </c>
      <c r="B14" s="28" t="s">
        <v>34</v>
      </c>
      <c r="C14" s="28" t="s">
        <v>35</v>
      </c>
      <c r="D14" s="65" t="s">
        <v>110</v>
      </c>
      <c r="E14" s="29">
        <v>512</v>
      </c>
      <c r="F14" s="38" t="s">
        <v>111</v>
      </c>
      <c r="G14" s="28" t="s">
        <v>112</v>
      </c>
      <c r="H14" s="28" t="s">
        <v>113</v>
      </c>
      <c r="I14" s="29"/>
      <c r="J14" s="34" t="s">
        <v>114</v>
      </c>
      <c r="K14" s="31"/>
      <c r="L14" s="28"/>
      <c r="M14" s="36"/>
    </row>
    <row r="15" spans="1:13">
      <c r="A15" s="68" t="s">
        <v>36</v>
      </c>
      <c r="B15" s="28" t="s">
        <v>37</v>
      </c>
      <c r="C15" s="28" t="s">
        <v>38</v>
      </c>
      <c r="D15" s="65" t="s">
        <v>115</v>
      </c>
      <c r="E15" s="40"/>
      <c r="F15" s="41" t="s">
        <v>105</v>
      </c>
      <c r="G15" s="28" t="e">
        <f>G13+G14</f>
        <v>#VALUE!</v>
      </c>
      <c r="H15" s="28" t="e">
        <f>H13+H14</f>
        <v>#VALUE!</v>
      </c>
      <c r="I15" s="29"/>
      <c r="J15" s="34" t="s">
        <v>116</v>
      </c>
      <c r="K15" s="31"/>
      <c r="L15" s="28"/>
      <c r="M15" s="39"/>
    </row>
    <row r="16" spans="1:13">
      <c r="A16" s="68" t="s">
        <v>39</v>
      </c>
      <c r="B16" s="28" t="s">
        <v>40</v>
      </c>
      <c r="C16" s="28" t="s">
        <v>41</v>
      </c>
      <c r="D16" s="65">
        <f>D5-D11</f>
        <v>0</v>
      </c>
      <c r="E16" s="42">
        <v>502</v>
      </c>
      <c r="F16" s="30" t="s">
        <v>117</v>
      </c>
      <c r="G16" s="28" t="s">
        <v>118</v>
      </c>
      <c r="H16" s="28" t="s">
        <v>119</v>
      </c>
      <c r="I16" s="42">
        <v>308</v>
      </c>
      <c r="J16" s="34" t="s">
        <v>120</v>
      </c>
      <c r="K16" s="31" t="e">
        <f>K6+K13+C20-G20</f>
        <v>#VALUE!</v>
      </c>
      <c r="L16" s="28" t="e">
        <f>L6+L13+D20-H20</f>
        <v>#VALUE!</v>
      </c>
      <c r="M16" s="35">
        <f>M7+M12</f>
        <v>0</v>
      </c>
    </row>
    <row r="17" spans="1:13">
      <c r="A17" s="68" t="s">
        <v>42</v>
      </c>
      <c r="B17" s="28" t="s">
        <v>43</v>
      </c>
      <c r="C17" s="28" t="s">
        <v>44</v>
      </c>
      <c r="D17" s="65"/>
      <c r="E17" s="29">
        <v>503</v>
      </c>
      <c r="F17" s="34" t="s">
        <v>121</v>
      </c>
      <c r="G17" s="28" t="s">
        <v>122</v>
      </c>
      <c r="H17" s="28" t="s">
        <v>123</v>
      </c>
      <c r="I17" s="29"/>
      <c r="J17" s="34" t="s">
        <v>124</v>
      </c>
      <c r="K17" s="31"/>
      <c r="L17" s="28"/>
      <c r="M17" s="36"/>
    </row>
    <row r="18" spans="1:13">
      <c r="A18" s="63" t="s">
        <v>45</v>
      </c>
      <c r="B18" s="28" t="e">
        <f>B19+B20+B21+B22+B23+B24+B25+B26</f>
        <v>#VALUE!</v>
      </c>
      <c r="C18" s="28" t="e">
        <f>C19+C20+C21+C22+C23+C24+C25+C26</f>
        <v>#VALUE!</v>
      </c>
      <c r="D18" s="65" t="e">
        <f>D19-D20-D21</f>
        <v>#VALUE!</v>
      </c>
      <c r="E18" s="29"/>
      <c r="F18" s="34"/>
      <c r="G18" s="31"/>
      <c r="H18" s="28"/>
      <c r="I18" s="29"/>
      <c r="J18" s="34" t="s">
        <v>125</v>
      </c>
      <c r="K18" s="31"/>
      <c r="L18" s="28"/>
      <c r="M18" s="36"/>
    </row>
    <row r="19" spans="1:13">
      <c r="A19" s="66" t="s">
        <v>46</v>
      </c>
      <c r="B19" s="28" t="s">
        <v>47</v>
      </c>
      <c r="C19" s="28" t="s">
        <v>48</v>
      </c>
      <c r="D19" s="65" t="s">
        <v>23</v>
      </c>
      <c r="E19" s="29"/>
      <c r="F19" s="38"/>
      <c r="G19" s="31"/>
      <c r="H19" s="28"/>
      <c r="I19" s="29"/>
      <c r="J19" s="8" t="s">
        <v>126</v>
      </c>
      <c r="K19" s="31"/>
      <c r="L19" s="28"/>
      <c r="M19" s="36"/>
    </row>
    <row r="20" ht="15.75" spans="1:13">
      <c r="A20" s="66" t="s">
        <v>49</v>
      </c>
      <c r="B20" s="28" t="s">
        <v>50</v>
      </c>
      <c r="C20" s="28" t="s">
        <v>51</v>
      </c>
      <c r="D20" s="65" t="s">
        <v>54</v>
      </c>
      <c r="E20" s="40"/>
      <c r="F20" s="43" t="s">
        <v>105</v>
      </c>
      <c r="G20" s="31" t="e">
        <f>G16+G17+G18+G19</f>
        <v>#VALUE!</v>
      </c>
      <c r="H20" s="28" t="e">
        <f>H16+H17+H18+H19</f>
        <v>#VALUE!</v>
      </c>
      <c r="I20" s="29"/>
      <c r="J20" s="38" t="s">
        <v>127</v>
      </c>
      <c r="K20" s="31"/>
      <c r="L20" s="28"/>
      <c r="M20" s="44"/>
    </row>
    <row r="21" spans="1:13">
      <c r="A21" s="66" t="s">
        <v>52</v>
      </c>
      <c r="B21" s="28" t="s">
        <v>53</v>
      </c>
      <c r="C21" s="28" t="s">
        <v>54</v>
      </c>
      <c r="D21" s="65" t="s">
        <v>128</v>
      </c>
      <c r="E21" s="46" t="s">
        <v>129</v>
      </c>
      <c r="F21" s="46"/>
      <c r="G21" s="47" t="e">
        <f>G12+G15+G20</f>
        <v>#VALUE!</v>
      </c>
      <c r="H21" s="45" t="e">
        <f>H12+H15+H20</f>
        <v>#VALUE!</v>
      </c>
      <c r="I21" s="48"/>
      <c r="J21" s="49"/>
      <c r="K21" s="47"/>
      <c r="L21" s="45"/>
    </row>
    <row r="22" spans="1:13">
      <c r="A22" s="66" t="s">
        <v>55</v>
      </c>
      <c r="B22" s="28" t="s">
        <v>56</v>
      </c>
      <c r="C22" s="28" t="s">
        <v>57</v>
      </c>
      <c r="D22" s="69" t="s">
        <v>130</v>
      </c>
    </row>
    <row r="23" spans="1:13">
      <c r="A23" s="66" t="s">
        <v>58</v>
      </c>
      <c r="B23" s="28" t="s">
        <v>59</v>
      </c>
      <c r="C23" s="28" t="s">
        <v>60</v>
      </c>
      <c r="D23" s="65" t="s">
        <v>131</v>
      </c>
      <c r="E23" s="7"/>
      <c r="F23" s="50" t="s">
        <v>132</v>
      </c>
      <c r="G23" s="7"/>
      <c r="H23" s="8"/>
      <c r="I23" s="8"/>
      <c r="J23" s="50" t="s">
        <v>133</v>
      </c>
      <c r="K23" s="7"/>
      <c r="L23" s="7"/>
    </row>
    <row r="24" spans="1:13">
      <c r="A24" s="66" t="s">
        <v>61</v>
      </c>
      <c r="B24" s="28" t="s">
        <v>62</v>
      </c>
      <c r="C24" s="28" t="s">
        <v>63</v>
      </c>
      <c r="D24" s="69" t="s">
        <v>130</v>
      </c>
      <c r="E24" s="51"/>
      <c r="F24" s="28"/>
      <c r="G24" s="28"/>
      <c r="H24" s="51"/>
      <c r="I24" s="28"/>
      <c r="J24" s="28"/>
    </row>
    <row r="25" spans="1:13">
      <c r="A25" s="66" t="s">
        <v>64</v>
      </c>
      <c r="B25" s="28" t="s">
        <v>65</v>
      </c>
      <c r="C25" s="28" t="s">
        <v>66</v>
      </c>
      <c r="D25" s="69" t="s">
        <v>134</v>
      </c>
      <c r="E25" s="53" t="s">
        <v>105</v>
      </c>
      <c r="F25" s="28" t="e">
        <f>F20+F21+F22+F23</f>
        <v>#VALUE!</v>
      </c>
      <c r="G25" s="28" t="e">
        <f>G20+G21+G22+G23</f>
        <v>#VALUE!</v>
      </c>
      <c r="H25" s="51" t="s">
        <v>126</v>
      </c>
      <c r="I25" s="28"/>
      <c r="J25" s="28"/>
    </row>
    <row r="26" spans="1:13">
      <c r="A26" s="66" t="s">
        <v>67</v>
      </c>
      <c r="B26" s="70" t="s">
        <v>68</v>
      </c>
      <c r="C26" s="70" t="s">
        <v>69</v>
      </c>
      <c r="D26" s="69" t="s">
        <v>135</v>
      </c>
      <c r="E26" s="54" t="s">
        <v>136</v>
      </c>
      <c r="F26" s="45" t="e">
        <f>F13+F19+F25</f>
        <v>#VALUE!</v>
      </c>
      <c r="G26" s="45" t="e">
        <f>G13+G19+G25</f>
        <v>#VALUE!</v>
      </c>
      <c r="H26" s="30" t="s">
        <v>127</v>
      </c>
      <c r="I26" s="45"/>
      <c r="J26" s="45"/>
    </row>
    <row r="27" spans="1:13">
      <c r="A27" s="63" t="s">
        <v>70</v>
      </c>
      <c r="B27" s="71" t="e">
        <f>B5-B18</f>
        <v>#VALUE!</v>
      </c>
      <c r="C27" s="71" t="e">
        <f>C5-C18</f>
        <v>#VALUE!</v>
      </c>
      <c r="D27" s="72"/>
    </row>
    <row r="28" spans="1:13">
      <c r="A28" s="60" t="s">
        <v>71</v>
      </c>
      <c r="B28" s="60" t="s">
        <v>72</v>
      </c>
      <c r="C28" s="60" t="s">
        <v>73</v>
      </c>
      <c r="E28" s="50" t="s">
        <v>132</v>
      </c>
      <c r="F28" s="7"/>
      <c r="G28" s="8"/>
      <c r="H28" s="50" t="s">
        <v>133</v>
      </c>
      <c r="I28" s="7"/>
      <c r="J28" s="7"/>
    </row>
    <row r="29" spans="1:13">
      <c r="A29" s="73"/>
      <c r="B29" s="74"/>
      <c r="C29" s="74"/>
      <c r="E29" s="50" t="s">
        <v>132</v>
      </c>
      <c r="F29" s="7"/>
      <c r="G29" s="8"/>
      <c r="H29" s="50" t="s">
        <v>133</v>
      </c>
      <c r="I29" s="7"/>
      <c r="J29" s="7"/>
    </row>
    <row r="31" spans="1:13">
      <c r="A31" s="73"/>
      <c r="B31" s="74"/>
      <c r="C31" s="74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SheetLayoutView="60" workbookViewId="0">
      <selection activeCell="A1" sqref="A1:C31"/>
    </sheetView>
  </sheetViews>
  <sheetFormatPr defaultColWidth="9.14814814814815" defaultRowHeight="15"/>
  <cols>
    <col min="1" max="16384" width="9.14814814814815" customWidth="1"/>
  </cols>
  <sheetData>
    <row r="1" ht="31.5" spans="1:13">
      <c r="A1" s="1" t="s">
        <v>137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>
      <c r="A2" s="5"/>
      <c r="B2" s="5" t="s">
        <v>138</v>
      </c>
      <c r="C2" s="6" t="s">
        <v>74</v>
      </c>
      <c r="D2" s="7"/>
      <c r="E2" s="7"/>
      <c r="F2" s="8"/>
      <c r="G2" s="7" t="s">
        <v>139</v>
      </c>
      <c r="H2" s="7"/>
      <c r="I2" s="7"/>
      <c r="J2" s="7"/>
      <c r="K2" s="7" t="s">
        <v>75</v>
      </c>
      <c r="L2" s="7"/>
      <c r="M2" s="9"/>
    </row>
    <row r="3" spans="1:13">
      <c r="A3" s="10" t="s">
        <v>140</v>
      </c>
      <c r="B3" s="10"/>
      <c r="C3" s="10" t="s">
        <v>76</v>
      </c>
      <c r="D3" s="7"/>
      <c r="E3" s="7"/>
      <c r="F3" s="8"/>
      <c r="G3" s="7"/>
      <c r="H3" s="7"/>
      <c r="I3" s="7"/>
      <c r="J3" s="7"/>
      <c r="K3" s="7"/>
      <c r="L3" s="7"/>
      <c r="M3" s="9"/>
    </row>
    <row r="4" ht="15.75" spans="1:13">
      <c r="A4" s="11" t="s">
        <v>5</v>
      </c>
      <c r="B4" s="11" t="s">
        <v>6</v>
      </c>
      <c r="C4" s="11" t="s">
        <v>7</v>
      </c>
      <c r="D4" s="12"/>
      <c r="E4" s="13" t="s">
        <v>78</v>
      </c>
      <c r="F4" s="14" t="s">
        <v>79</v>
      </c>
      <c r="G4" s="15"/>
      <c r="H4" s="16"/>
      <c r="I4" s="13" t="s">
        <v>78</v>
      </c>
      <c r="J4" s="14" t="s">
        <v>80</v>
      </c>
      <c r="K4" s="17"/>
      <c r="L4" s="15"/>
      <c r="M4" s="9"/>
    </row>
    <row r="5" spans="1:13">
      <c r="A5" s="18" t="s">
        <v>141</v>
      </c>
      <c r="B5" s="19">
        <f>B6-B7</f>
        <v>-500922</v>
      </c>
      <c r="C5" s="19">
        <f>C6-C7</f>
        <v>-500922</v>
      </c>
      <c r="D5" s="20" t="s">
        <v>84</v>
      </c>
      <c r="E5" s="21" t="s">
        <v>81</v>
      </c>
      <c r="F5" s="22" t="s">
        <v>82</v>
      </c>
      <c r="G5" s="23" t="s">
        <v>83</v>
      </c>
      <c r="H5" s="23" t="s">
        <v>84</v>
      </c>
      <c r="I5" s="21" t="s">
        <v>81</v>
      </c>
      <c r="J5" s="22" t="s">
        <v>82</v>
      </c>
      <c r="K5" s="20" t="s">
        <v>83</v>
      </c>
      <c r="L5" s="24" t="s">
        <v>84</v>
      </c>
      <c r="M5" s="25"/>
    </row>
    <row r="6" spans="1:13">
      <c r="A6" s="26" t="s">
        <v>142</v>
      </c>
      <c r="B6" s="27">
        <f>0</f>
        <v>0</v>
      </c>
      <c r="C6" s="27">
        <f>0</f>
        <v>0</v>
      </c>
      <c r="D6" s="28">
        <f>0</f>
        <v>0</v>
      </c>
      <c r="E6" s="29">
        <v>501</v>
      </c>
      <c r="F6" s="30" t="s">
        <v>85</v>
      </c>
      <c r="G6" s="31">
        <f>0</f>
        <v>0</v>
      </c>
      <c r="H6" s="28">
        <f>0</f>
        <v>0</v>
      </c>
      <c r="I6" s="29">
        <v>306</v>
      </c>
      <c r="J6" s="30" t="s">
        <v>88</v>
      </c>
      <c r="K6" s="31">
        <f>C12-G12</f>
        <v>0</v>
      </c>
      <c r="L6" s="28">
        <f>D12-H12</f>
        <v>0</v>
      </c>
      <c r="M6" s="32" t="s">
        <v>89</v>
      </c>
    </row>
    <row r="7" spans="1:13">
      <c r="A7" s="33" t="s">
        <v>143</v>
      </c>
      <c r="B7" s="27">
        <f>500922</f>
        <v>500922</v>
      </c>
      <c r="C7" s="27">
        <f>500922</f>
        <v>500922</v>
      </c>
      <c r="D7" s="28">
        <f>0</f>
        <v>0</v>
      </c>
      <c r="E7" s="29">
        <v>516</v>
      </c>
      <c r="F7" s="34" t="s">
        <v>90</v>
      </c>
      <c r="G7" s="31">
        <f>0</f>
        <v>0</v>
      </c>
      <c r="H7" s="28">
        <f>0</f>
        <v>0</v>
      </c>
      <c r="I7" s="29"/>
      <c r="J7" s="34" t="s">
        <v>93</v>
      </c>
      <c r="K7" s="31"/>
      <c r="L7" s="28"/>
      <c r="M7" s="35">
        <f>E11-I11</f>
        <v>0</v>
      </c>
    </row>
    <row r="8" spans="1:13">
      <c r="A8" s="18" t="s">
        <v>144</v>
      </c>
      <c r="B8" s="19">
        <f>B9-B15</f>
        <v>-179758</v>
      </c>
      <c r="C8" s="19">
        <f>C9-C15</f>
        <v>-179758</v>
      </c>
      <c r="D8" s="28">
        <f>0</f>
        <v>0</v>
      </c>
      <c r="E8" s="29">
        <v>517</v>
      </c>
      <c r="F8" s="34" t="s">
        <v>94</v>
      </c>
      <c r="G8" s="31">
        <f>0</f>
        <v>0</v>
      </c>
      <c r="H8" s="28">
        <f>0</f>
        <v>0</v>
      </c>
      <c r="I8" s="29"/>
      <c r="J8" s="34" t="s">
        <v>97</v>
      </c>
      <c r="K8" s="31"/>
      <c r="L8" s="28"/>
      <c r="M8" s="36"/>
    </row>
    <row r="9" spans="1:13">
      <c r="A9" s="26" t="s">
        <v>145</v>
      </c>
      <c r="B9" s="27">
        <f>SUM(B10:B13)</f>
        <v>0</v>
      </c>
      <c r="C9" s="27">
        <f>SUM(C10:C13)</f>
        <v>0</v>
      </c>
      <c r="D9" s="28">
        <f>0</f>
        <v>0</v>
      </c>
      <c r="E9" s="29">
        <v>504</v>
      </c>
      <c r="F9" s="34" t="s">
        <v>99</v>
      </c>
      <c r="G9" s="31">
        <f>0</f>
        <v>0</v>
      </c>
      <c r="H9" s="28">
        <f>0</f>
        <v>0</v>
      </c>
      <c r="I9" s="29"/>
      <c r="J9" s="8"/>
      <c r="K9" s="31"/>
      <c r="L9" s="28"/>
      <c r="M9" s="36"/>
    </row>
    <row r="10" spans="1:13">
      <c r="A10" s="37" t="s">
        <v>146</v>
      </c>
      <c r="B10" s="27">
        <f>0</f>
        <v>0</v>
      </c>
      <c r="C10" s="27">
        <f>0</f>
        <v>0</v>
      </c>
      <c r="D10" s="28">
        <f>0</f>
        <v>0</v>
      </c>
      <c r="E10" s="29">
        <v>520</v>
      </c>
      <c r="F10" s="34" t="s">
        <v>102</v>
      </c>
      <c r="G10" s="31">
        <f>0</f>
        <v>0</v>
      </c>
      <c r="H10" s="28">
        <f>0</f>
        <v>0</v>
      </c>
      <c r="I10" s="29"/>
      <c r="J10" s="34"/>
      <c r="K10" s="31"/>
      <c r="L10" s="28"/>
      <c r="M10" s="36"/>
    </row>
    <row r="11" spans="1:13">
      <c r="A11" s="37" t="s">
        <v>147</v>
      </c>
      <c r="B11" s="27">
        <f>0</f>
        <v>0</v>
      </c>
      <c r="C11" s="27">
        <f>0</f>
        <v>0</v>
      </c>
      <c r="D11" s="28"/>
      <c r="E11" s="29"/>
      <c r="F11" s="38"/>
      <c r="G11" s="31"/>
      <c r="H11" s="28"/>
      <c r="I11" s="29"/>
      <c r="J11" s="34"/>
      <c r="K11" s="31"/>
      <c r="L11" s="28"/>
      <c r="M11" s="39"/>
    </row>
    <row r="12" spans="1:13">
      <c r="A12" s="37" t="s">
        <v>148</v>
      </c>
      <c r="B12" s="27">
        <f>0</f>
        <v>0</v>
      </c>
      <c r="C12" s="27">
        <f>0</f>
        <v>0</v>
      </c>
      <c r="D12" s="28">
        <f>D6+D7+D8+D9+D10+D11</f>
        <v>0</v>
      </c>
      <c r="E12" s="40"/>
      <c r="F12" s="41" t="s">
        <v>105</v>
      </c>
      <c r="G12" s="31">
        <f>G6+G7+G8+G9+G10+G11</f>
        <v>0</v>
      </c>
      <c r="H12" s="28">
        <f>H6+H7+H8+H9+H10+H11</f>
        <v>0</v>
      </c>
      <c r="I12" s="29"/>
      <c r="J12" s="34"/>
      <c r="K12" s="31"/>
      <c r="L12" s="28"/>
      <c r="M12" s="35">
        <f>E12-I12</f>
        <v>0</v>
      </c>
    </row>
    <row r="13" spans="1:13">
      <c r="A13" s="37" t="s">
        <v>149</v>
      </c>
      <c r="B13" s="27">
        <f>0</f>
        <v>0</v>
      </c>
      <c r="C13" s="27">
        <f>0</f>
        <v>0</v>
      </c>
      <c r="D13" s="28">
        <f>0</f>
        <v>0</v>
      </c>
      <c r="E13" s="42">
        <v>505</v>
      </c>
      <c r="F13" s="30" t="s">
        <v>106</v>
      </c>
      <c r="G13" s="31">
        <f>0</f>
        <v>0</v>
      </c>
      <c r="H13" s="28">
        <f>0</f>
        <v>0</v>
      </c>
      <c r="I13" s="42">
        <v>307</v>
      </c>
      <c r="J13" s="34" t="s">
        <v>109</v>
      </c>
      <c r="K13" s="31">
        <f>C15-G15</f>
        <v>179758</v>
      </c>
      <c r="L13" s="28">
        <f>D15-H15</f>
        <v>0</v>
      </c>
      <c r="M13" s="36"/>
    </row>
    <row r="14" spans="1:13">
      <c r="A14" s="37" t="s">
        <v>150</v>
      </c>
      <c r="B14" s="27">
        <f>0</f>
        <v>0</v>
      </c>
      <c r="C14" s="27">
        <f>0</f>
        <v>0</v>
      </c>
      <c r="D14" s="28"/>
      <c r="E14" s="29">
        <v>512</v>
      </c>
      <c r="F14" s="38" t="s">
        <v>111</v>
      </c>
      <c r="G14" s="31">
        <f>0</f>
        <v>0</v>
      </c>
      <c r="H14" s="28">
        <f>0</f>
        <v>0</v>
      </c>
      <c r="I14" s="29"/>
      <c r="J14" s="34" t="s">
        <v>114</v>
      </c>
      <c r="K14" s="31"/>
      <c r="L14" s="28"/>
      <c r="M14" s="36"/>
    </row>
    <row r="15" spans="1:13">
      <c r="A15" s="37" t="s">
        <v>151</v>
      </c>
      <c r="B15" s="27">
        <f>SUM(B16:B19)</f>
        <v>179758</v>
      </c>
      <c r="C15" s="27">
        <f>SUM(C16:C19)</f>
        <v>179758</v>
      </c>
      <c r="D15" s="28">
        <f>D13+D14</f>
        <v>0</v>
      </c>
      <c r="E15" s="40"/>
      <c r="F15" s="41" t="s">
        <v>105</v>
      </c>
      <c r="G15" s="31">
        <f>G13+G14</f>
        <v>0</v>
      </c>
      <c r="H15" s="28">
        <f>H13+H14</f>
        <v>0</v>
      </c>
      <c r="I15" s="29"/>
      <c r="J15" s="34" t="s">
        <v>116</v>
      </c>
      <c r="K15" s="31"/>
      <c r="L15" s="28"/>
      <c r="M15" s="39"/>
    </row>
    <row r="16" spans="1:13">
      <c r="A16" s="37" t="s">
        <v>152</v>
      </c>
      <c r="B16" s="27">
        <f>179758</f>
        <v>179758</v>
      </c>
      <c r="C16" s="27">
        <f>179758</f>
        <v>179758</v>
      </c>
      <c r="D16" s="28">
        <f>0</f>
        <v>0</v>
      </c>
      <c r="E16" s="42">
        <v>502</v>
      </c>
      <c r="F16" s="30" t="s">
        <v>117</v>
      </c>
      <c r="G16" s="31">
        <f>0</f>
        <v>0</v>
      </c>
      <c r="H16" s="28">
        <f>0</f>
        <v>0</v>
      </c>
      <c r="I16" s="42">
        <v>308</v>
      </c>
      <c r="J16" s="34" t="s">
        <v>120</v>
      </c>
      <c r="K16" s="31">
        <f>K6+K13+C20-G20</f>
        <v>179758</v>
      </c>
      <c r="L16" s="28">
        <f>L6+L13+D20-H20</f>
        <v>0</v>
      </c>
      <c r="M16" s="35">
        <f>M7+M12</f>
        <v>0</v>
      </c>
    </row>
    <row r="17" spans="1:13">
      <c r="A17" s="37" t="s">
        <v>153</v>
      </c>
      <c r="B17" s="27">
        <f>0</f>
        <v>0</v>
      </c>
      <c r="C17" s="27">
        <f>0</f>
        <v>0</v>
      </c>
      <c r="D17" s="28"/>
      <c r="E17" s="29">
        <v>503</v>
      </c>
      <c r="F17" s="34" t="s">
        <v>121</v>
      </c>
      <c r="G17" s="31">
        <f>0</f>
        <v>0</v>
      </c>
      <c r="H17" s="28">
        <f>0</f>
        <v>0</v>
      </c>
      <c r="I17" s="29"/>
      <c r="J17" s="34" t="s">
        <v>124</v>
      </c>
      <c r="K17" s="31"/>
      <c r="L17" s="28"/>
      <c r="M17" s="36"/>
    </row>
    <row r="18" spans="1:13">
      <c r="A18" s="37" t="s">
        <v>154</v>
      </c>
      <c r="B18" s="27">
        <f>0</f>
        <v>0</v>
      </c>
      <c r="C18" s="27">
        <f>0</f>
        <v>0</v>
      </c>
      <c r="D18" s="28"/>
      <c r="E18" s="29"/>
      <c r="F18" s="34"/>
      <c r="G18" s="31"/>
      <c r="H18" s="28"/>
      <c r="I18" s="29"/>
      <c r="J18" s="34" t="s">
        <v>125</v>
      </c>
      <c r="K18" s="31"/>
      <c r="L18" s="28"/>
      <c r="M18" s="36"/>
    </row>
    <row r="19" spans="1:13">
      <c r="A19" s="33" t="s">
        <v>155</v>
      </c>
      <c r="B19" s="27">
        <f>0</f>
        <v>0</v>
      </c>
      <c r="C19" s="27">
        <f>0</f>
        <v>0</v>
      </c>
      <c r="D19" s="28"/>
      <c r="E19" s="29"/>
      <c r="F19" s="38"/>
      <c r="G19" s="31"/>
      <c r="H19" s="28"/>
      <c r="I19" s="29"/>
      <c r="J19" s="8" t="s">
        <v>126</v>
      </c>
      <c r="K19" s="31"/>
      <c r="L19" s="28"/>
      <c r="M19" s="36"/>
    </row>
    <row r="20" ht="15.75" spans="1:13">
      <c r="A20" s="18" t="s">
        <v>156</v>
      </c>
      <c r="B20" s="19">
        <f>B21-B22</f>
        <v>0</v>
      </c>
      <c r="C20" s="19">
        <f>C21-C22</f>
        <v>0</v>
      </c>
      <c r="D20" s="28">
        <f>D16+D17+D18+D19</f>
        <v>0</v>
      </c>
      <c r="E20" s="40"/>
      <c r="F20" s="43" t="s">
        <v>105</v>
      </c>
      <c r="G20" s="31">
        <f>G16+G17+G18+G19</f>
        <v>0</v>
      </c>
      <c r="H20" s="28">
        <f>H16+H17+H18+H19</f>
        <v>0</v>
      </c>
      <c r="I20" s="29"/>
      <c r="J20" s="38" t="s">
        <v>127</v>
      </c>
      <c r="K20" s="31"/>
      <c r="L20" s="28"/>
      <c r="M20" s="44"/>
    </row>
    <row r="21" spans="1:13">
      <c r="A21" s="26" t="s">
        <v>157</v>
      </c>
      <c r="B21" s="27">
        <f>0</f>
        <v>0</v>
      </c>
      <c r="C21" s="27">
        <f>0</f>
        <v>0</v>
      </c>
      <c r="D21" s="45">
        <f>D12+D15+D20</f>
        <v>0</v>
      </c>
      <c r="E21" s="46" t="s">
        <v>129</v>
      </c>
      <c r="F21" s="46"/>
      <c r="G21" s="47">
        <f>G12+G15+G20</f>
        <v>0</v>
      </c>
      <c r="H21" s="45">
        <f>H12+H15+H20</f>
        <v>0</v>
      </c>
      <c r="I21" s="48"/>
      <c r="J21" s="49"/>
      <c r="K21" s="47"/>
      <c r="L21" s="45"/>
    </row>
    <row r="22" spans="1:13">
      <c r="A22" s="33" t="s">
        <v>158</v>
      </c>
      <c r="B22" s="27">
        <f>0</f>
        <v>0</v>
      </c>
      <c r="C22" s="27">
        <f>0</f>
        <v>0</v>
      </c>
    </row>
    <row r="23" spans="1:13">
      <c r="A23" s="11" t="s">
        <v>159</v>
      </c>
      <c r="B23" s="19">
        <f>0</f>
        <v>0</v>
      </c>
      <c r="C23" s="19">
        <f>0</f>
        <v>0</v>
      </c>
      <c r="D23" s="7"/>
      <c r="E23" s="7"/>
      <c r="F23" s="50" t="s">
        <v>132</v>
      </c>
      <c r="G23" s="7"/>
      <c r="H23" s="8"/>
      <c r="I23" s="8"/>
      <c r="J23" s="50" t="s">
        <v>133</v>
      </c>
      <c r="K23" s="7"/>
      <c r="L23" s="7"/>
    </row>
    <row r="24" spans="1:13">
      <c r="A24" s="18" t="s">
        <v>160</v>
      </c>
      <c r="B24" s="19">
        <f>B20+B23</f>
        <v>0</v>
      </c>
      <c r="C24" s="19">
        <f>C20+C23</f>
        <v>0</v>
      </c>
      <c r="D24" s="28"/>
      <c r="E24" s="51"/>
      <c r="F24" s="28"/>
      <c r="G24" s="28"/>
      <c r="H24" s="51"/>
      <c r="I24" s="28"/>
      <c r="J24" s="28"/>
    </row>
    <row r="25" spans="1:13">
      <c r="A25" s="52" t="s">
        <v>161</v>
      </c>
      <c r="B25" s="27">
        <f>0</f>
        <v>0</v>
      </c>
      <c r="C25" s="27">
        <f>0</f>
        <v>0</v>
      </c>
      <c r="D25" s="28">
        <f>D20+D21+D22+D23</f>
        <v>0</v>
      </c>
      <c r="E25" s="53" t="s">
        <v>105</v>
      </c>
      <c r="F25" s="28" t="e">
        <f>F20+F21+F22+F23</f>
        <v>#VALUE!</v>
      </c>
      <c r="G25" s="28">
        <f>G20+G21+G22+G23</f>
        <v>0</v>
      </c>
      <c r="H25" s="51" t="s">
        <v>126</v>
      </c>
      <c r="I25" s="28"/>
      <c r="J25" s="28"/>
    </row>
    <row r="26" spans="1:13">
      <c r="A26" s="18" t="s">
        <v>162</v>
      </c>
      <c r="B26" s="19">
        <f>B24-B25</f>
        <v>0</v>
      </c>
      <c r="C26" s="19">
        <f>C24-C25</f>
        <v>0</v>
      </c>
      <c r="D26" s="45">
        <f>D13+D19+D25</f>
        <v>0</v>
      </c>
      <c r="E26" s="54" t="s">
        <v>136</v>
      </c>
      <c r="F26" s="45" t="e">
        <f>F13+F19+F25</f>
        <v>#VALUE!</v>
      </c>
      <c r="G26" s="45">
        <f>G13+G19+G25</f>
        <v>0</v>
      </c>
      <c r="H26" s="30" t="s">
        <v>127</v>
      </c>
      <c r="I26" s="45"/>
      <c r="J26" s="45"/>
    </row>
    <row r="27" spans="1:13">
      <c r="A27" s="26" t="s">
        <v>163</v>
      </c>
      <c r="B27" s="27">
        <f>0</f>
        <v>0</v>
      </c>
      <c r="C27" s="27">
        <f>0</f>
        <v>0</v>
      </c>
    </row>
    <row r="28" spans="1:13">
      <c r="A28" s="33" t="s">
        <v>164</v>
      </c>
      <c r="B28" s="27">
        <f>0</f>
        <v>0</v>
      </c>
      <c r="C28" s="27">
        <f>0</f>
        <v>0</v>
      </c>
      <c r="D28" s="7"/>
      <c r="E28" s="50" t="s">
        <v>132</v>
      </c>
      <c r="F28" s="7"/>
      <c r="G28" s="8"/>
      <c r="H28" s="50" t="s">
        <v>133</v>
      </c>
      <c r="I28" s="7"/>
      <c r="J28" s="7"/>
    </row>
    <row r="29" spans="1:13">
      <c r="A29" s="18" t="s">
        <v>165</v>
      </c>
      <c r="B29" s="19">
        <f>B26-B27-B28</f>
        <v>0</v>
      </c>
      <c r="C29" s="19">
        <f>C26-C27-C28</f>
        <v>0</v>
      </c>
    </row>
    <row r="30" spans="1:13">
      <c r="A30" s="10" t="s">
        <v>71</v>
      </c>
      <c r="B30" s="10" t="s">
        <v>72</v>
      </c>
      <c r="C30" s="10" t="s">
        <v>166</v>
      </c>
    </row>
    <row r="31" spans="1:13">
      <c r="B31" s="55"/>
      <c r="C31" s="55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工会事业单位收入支出表(定义)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2026-05-19T09:22:51Z</dcterms:created>
  <dcterms:modified xsi:type="dcterms:W3CDTF">2026-05-19T09:23:00Z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DD174C9B097E41ADAAE548141AD0FC3F_13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