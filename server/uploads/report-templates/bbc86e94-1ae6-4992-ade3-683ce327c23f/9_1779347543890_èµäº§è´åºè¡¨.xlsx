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showSheetTabs="0" windowHeight="17655"/>
  </bookViews>
  <sheets>
    <sheet name="资产负债表(定义)" sheetId="1" r:id="rId1"/>
    <sheet name="Sheet2" sheetId="2" r:id="rId2"/>
    <sheet name="Sheet3" sheetId="3" r:id="rId3"/>
  </sheets>
  <definedNames>
    <definedName name="_xlnm.Print_Area">#N/A</definedName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<sst xmlns="http://schemas.openxmlformats.org/spreadsheetml/2006/main" count="508" uniqueCount="194">
  <si>
    <t>资产负债表</t>
  </si>
  <si>
    <t xml:space="preserve"> 会政财01表</t>
  </si>
  <si>
    <t xml:space="preserve">编制单位:%U         </t>
  </si>
  <si>
    <t xml:space="preserve">   %yh%mh%dh</t>
  </si>
  <si>
    <t>单位：元</t>
  </si>
  <si>
    <t xml:space="preserve">资 产 </t>
  </si>
  <si>
    <t xml:space="preserve">期末余额 </t>
  </si>
  <si>
    <t xml:space="preserve">年初余额 </t>
  </si>
  <si>
    <t xml:space="preserve">负债和净资产 </t>
  </si>
  <si>
    <t xml:space="preserve">流动资产： </t>
  </si>
  <si>
    <t>　</t>
  </si>
  <si>
    <t xml:space="preserve">流动负债： </t>
  </si>
  <si>
    <t xml:space="preserve"> 货币资金 </t>
  </si>
  <si>
    <t>@ye(1001,99)+ye(1002,99)+ye(1011,99)+ye(1012,99)</t>
  </si>
  <si>
    <t>@nc(1001)+nc(1002)+nc(1011)+nc(1012)</t>
  </si>
  <si>
    <t xml:space="preserve"> 短期借款 </t>
  </si>
  <si>
    <t>@ye(2001,99)</t>
  </si>
  <si>
    <t>@nc(2001)</t>
  </si>
  <si>
    <t xml:space="preserve"> 短期投资 </t>
  </si>
  <si>
    <t>@ye(1101,99)</t>
  </si>
  <si>
    <t>@nc(1101)</t>
  </si>
  <si>
    <t xml:space="preserve"> 应缴增值税</t>
  </si>
  <si>
    <t>@ye(2101,99)</t>
  </si>
  <si>
    <t>@nc(2101)</t>
  </si>
  <si>
    <t xml:space="preserve"> 财政应返还额度 </t>
  </si>
  <si>
    <t>@ye(1201,99)</t>
  </si>
  <si>
    <t>@nc(1201)</t>
  </si>
  <si>
    <t xml:space="preserve"> 其他应交税费 </t>
  </si>
  <si>
    <t>@ye(2102,99)</t>
  </si>
  <si>
    <t>@nc(2102)</t>
  </si>
  <si>
    <t xml:space="preserve"> 应收票据 </t>
  </si>
  <si>
    <t>@ye(1211,99)</t>
  </si>
  <si>
    <t>@nc(1211)</t>
  </si>
  <si>
    <t xml:space="preserve"> 应缴财政款</t>
  </si>
  <si>
    <t>@ye(2103,99)</t>
  </si>
  <si>
    <t>@nc(2103)</t>
  </si>
  <si>
    <t xml:space="preserve"> 应收账款净额</t>
  </si>
  <si>
    <t>@mjy(1212,99)+mjy(2305,99)</t>
  </si>
  <si>
    <t>@mnj(1212)+mnj(2305)</t>
  </si>
  <si>
    <t xml:space="preserve"> 应付职工薪酬 </t>
  </si>
  <si>
    <t>@ye(2201,99)</t>
  </si>
  <si>
    <t>@nc(2201)</t>
  </si>
  <si>
    <t xml:space="preserve"> 预付账款 </t>
  </si>
  <si>
    <t>@mjy(1214,99)+mjy(2302,99)</t>
  </si>
  <si>
    <t>@mnj(1214)+mnj(2302)</t>
  </si>
  <si>
    <t xml:space="preserve"> 应付票据 </t>
  </si>
  <si>
    <t>@ye(2301,99)</t>
  </si>
  <si>
    <t>@nc(2301)</t>
  </si>
  <si>
    <t xml:space="preserve"> 应收股利</t>
  </si>
  <si>
    <t>@ye(1215,99)</t>
  </si>
  <si>
    <t>@nc(1215)</t>
  </si>
  <si>
    <t xml:space="preserve"> 应付账款 </t>
  </si>
  <si>
    <t>@mdy(1214,99)+mdy(2302,99)</t>
  </si>
  <si>
    <t>@mnd(1214)+mnd(2302)</t>
  </si>
  <si>
    <t xml:space="preserve"> 应收利息</t>
  </si>
  <si>
    <t>@ye(1216,99)</t>
  </si>
  <si>
    <t>@nc(1216)</t>
  </si>
  <si>
    <t xml:space="preserve"> 应付政府补贴款</t>
  </si>
  <si>
    <t>@ye(2303,99)</t>
  </si>
  <si>
    <t>@nc(2303)</t>
  </si>
  <si>
    <t xml:space="preserve"> 其他应收款净额 </t>
  </si>
  <si>
    <t>@ye(1218,99)</t>
  </si>
  <si>
    <t>@nc(1218)</t>
  </si>
  <si>
    <t xml:space="preserve"> 应付利息</t>
  </si>
  <si>
    <t>@ye(2304,99)</t>
  </si>
  <si>
    <t>@nc(2304)</t>
  </si>
  <si>
    <t xml:space="preserve"> 存 货 </t>
  </si>
  <si>
    <t>@ye(1301,99)+ye(1302,99)+ye(1303,99)</t>
  </si>
  <si>
    <t>@nc(1301)+nc(1302)+nc(1303)</t>
  </si>
  <si>
    <t xml:space="preserve"> 预收账款 </t>
  </si>
  <si>
    <t>@mdy(1212,99)+mdy(2305,99)</t>
  </si>
  <si>
    <t>@mnd(1212)+mnd(2305)</t>
  </si>
  <si>
    <t xml:space="preserve"> 待摊费用 </t>
  </si>
  <si>
    <t>@ye(1401,99)</t>
  </si>
  <si>
    <t>@nc(1401)</t>
  </si>
  <si>
    <t xml:space="preserve"> 其他应付款 </t>
  </si>
  <si>
    <t>@ye(2307,99)</t>
  </si>
  <si>
    <t>@nc(2307)</t>
  </si>
  <si>
    <t xml:space="preserve"> 一年内到期的非流动资产</t>
  </si>
  <si>
    <t xml:space="preserve"> 预提费用</t>
  </si>
  <si>
    <t>@ye(2401,99)</t>
  </si>
  <si>
    <t>@nc(2401)</t>
  </si>
  <si>
    <t xml:space="preserve"> 其他流动资产 </t>
  </si>
  <si>
    <t xml:space="preserve"> 一年内到期的非流动负债</t>
  </si>
  <si>
    <t xml:space="preserve">流动资产合计 </t>
  </si>
  <si>
    <t xml:space="preserve"> 其他流动负债 </t>
  </si>
  <si>
    <t xml:space="preserve">非流动资产： </t>
  </si>
  <si>
    <t xml:space="preserve">流动负债合计 </t>
  </si>
  <si>
    <t xml:space="preserve"> 长期股权投资 </t>
  </si>
  <si>
    <t>@ye(1501,99)</t>
  </si>
  <si>
    <t>@nc(1501)</t>
  </si>
  <si>
    <t xml:space="preserve">非流动负债： </t>
  </si>
  <si>
    <t xml:space="preserve"> 长期债券投资 </t>
  </si>
  <si>
    <t>@ye(1502,99)</t>
  </si>
  <si>
    <t>@nc(1502)</t>
  </si>
  <si>
    <t xml:space="preserve"> 长期借款 </t>
  </si>
  <si>
    <t>@ye(2501,99)</t>
  </si>
  <si>
    <t>@nc(2501)</t>
  </si>
  <si>
    <t xml:space="preserve"> 固定资产原值 </t>
  </si>
  <si>
    <t>@ye(1601,99)</t>
  </si>
  <si>
    <t>@nc(1601)</t>
  </si>
  <si>
    <t xml:space="preserve"> 长期应付款 </t>
  </si>
  <si>
    <t>@ye(2502,99)</t>
  </si>
  <si>
    <t>@nc(2502)</t>
  </si>
  <si>
    <t xml:space="preserve">  减：固定资产累计折旧 </t>
  </si>
  <si>
    <t>@ye(1602,99)</t>
  </si>
  <si>
    <t>@nc(1602)</t>
  </si>
  <si>
    <t xml:space="preserve"> 预计负债 </t>
  </si>
  <si>
    <t>@ye(2601,99)</t>
  </si>
  <si>
    <t>@nc(2601)</t>
  </si>
  <si>
    <t xml:space="preserve"> 固定资产净值 </t>
  </si>
  <si>
    <t xml:space="preserve"> 其他非流动负债 </t>
  </si>
  <si>
    <t xml:space="preserve"> 工程物资</t>
  </si>
  <si>
    <t>@ye(1611,99)</t>
  </si>
  <si>
    <t>@nc(1611)</t>
  </si>
  <si>
    <t xml:space="preserve">非流动负债合计 </t>
  </si>
  <si>
    <t xml:space="preserve"> 在建工程 </t>
  </si>
  <si>
    <t>@ye(1613,99)</t>
  </si>
  <si>
    <t>@nc(1613)</t>
  </si>
  <si>
    <t xml:space="preserve"> 受托代理负债 </t>
  </si>
  <si>
    <t>@ye(2901,99)</t>
  </si>
  <si>
    <t>@nc(2901)</t>
  </si>
  <si>
    <t xml:space="preserve"> 无形资产原值 </t>
  </si>
  <si>
    <t>@ye(1701,99)</t>
  </si>
  <si>
    <t>@nc(1701)</t>
  </si>
  <si>
    <t xml:space="preserve">负债合计 </t>
  </si>
  <si>
    <t xml:space="preserve">  减：无形资产累计摊销 </t>
  </si>
  <si>
    <t>@ye(1702,99)</t>
  </si>
  <si>
    <t>@nc(1702)</t>
  </si>
  <si>
    <t xml:space="preserve"> 无形资产净值 </t>
  </si>
  <si>
    <t xml:space="preserve"> 研发支出</t>
  </si>
  <si>
    <t>@ye(1703,99)</t>
  </si>
  <si>
    <t>@nc(1703)</t>
  </si>
  <si>
    <t xml:space="preserve"> 公共基础设施原值 </t>
  </si>
  <si>
    <t>@ye(1801,99)</t>
  </si>
  <si>
    <t>@nc(1801)</t>
  </si>
  <si>
    <t xml:space="preserve">  减：公共基础设施累计折旧（摊销）</t>
  </si>
  <si>
    <t>@ye(1802,99)</t>
  </si>
  <si>
    <t>@nc(1802)</t>
  </si>
  <si>
    <t xml:space="preserve"> 公共基础设施净值 </t>
  </si>
  <si>
    <t xml:space="preserve"> 政府储备物资</t>
  </si>
  <si>
    <t>@ye(1811,99)</t>
  </si>
  <si>
    <t>@nc(1811)</t>
  </si>
  <si>
    <t xml:space="preserve"> 文物文化资产</t>
  </si>
  <si>
    <t>@ye(1821,99)</t>
  </si>
  <si>
    <t>@nc(1821)</t>
  </si>
  <si>
    <t xml:space="preserve"> 保障性住房原值 </t>
  </si>
  <si>
    <t>@ye(1831,99)</t>
  </si>
  <si>
    <t>@nc(1831)</t>
  </si>
  <si>
    <t xml:space="preserve">  减：保障性住房累计折旧</t>
  </si>
  <si>
    <t>@ye(1832,99)</t>
  </si>
  <si>
    <t>@nc(1832)</t>
  </si>
  <si>
    <t xml:space="preserve">净资产： </t>
  </si>
  <si>
    <t xml:space="preserve"> 保障性住房净值 </t>
  </si>
  <si>
    <t xml:space="preserve"> 累计盈余 </t>
  </si>
  <si>
    <t>@ye(3001,99)</t>
  </si>
  <si>
    <t>@nc(3001)</t>
  </si>
  <si>
    <t xml:space="preserve"> 长期待摊费用</t>
  </si>
  <si>
    <t>@ye(1901,99)</t>
  </si>
  <si>
    <t>@nc(1901)</t>
  </si>
  <si>
    <t xml:space="preserve"> 专用基金 </t>
  </si>
  <si>
    <t>@ye(3101,99)</t>
  </si>
  <si>
    <t>@nc(3101)</t>
  </si>
  <si>
    <t xml:space="preserve"> 待处理资产损溢 </t>
  </si>
  <si>
    <t>@ye(1902,99)</t>
  </si>
  <si>
    <t>@nc(1902)</t>
  </si>
  <si>
    <t xml:space="preserve"> 权益法调整</t>
  </si>
  <si>
    <t>@ye(3201,99)</t>
  </si>
  <si>
    <t>@nc(3201)</t>
  </si>
  <si>
    <t xml:space="preserve"> 其他非流动资产 </t>
  </si>
  <si>
    <t xml:space="preserve"> 无偿调拨净资产*</t>
  </si>
  <si>
    <t>@ye(3401,99)</t>
  </si>
  <si>
    <t>@nc(3401)</t>
  </si>
  <si>
    <t xml:space="preserve">非流动资产合计 </t>
  </si>
  <si>
    <t xml:space="preserve"> 本期盈余* </t>
  </si>
  <si>
    <t>@ye(3301,99)</t>
  </si>
  <si>
    <t>@nc(3301)</t>
  </si>
  <si>
    <t>受托代理资产</t>
  </si>
  <si>
    <t>@ye(1891,99)</t>
  </si>
  <si>
    <t>@nc(1891)</t>
  </si>
  <si>
    <t xml:space="preserve">  净资产合计 </t>
  </si>
  <si>
    <t xml:space="preserve">资产总计 </t>
  </si>
  <si>
    <t xml:space="preserve">负债和净资产总计 </t>
  </si>
  <si>
    <t>注：“*”标识项目为月报项目，年报中不需列示。</t>
  </si>
  <si>
    <t>单位负责人：</t>
  </si>
  <si>
    <t>财务负责人：</t>
  </si>
  <si>
    <t>制表：</t>
  </si>
  <si>
    <t xml:space="preserve">        单位：元</t>
  </si>
  <si>
    <t xml:space="preserve">编制单位:深圳市润衡财经软件有限公司         </t>
  </si>
  <si>
    <t xml:space="preserve">   2017年11月15日</t>
  </si>
  <si>
    <t xml:space="preserve"> </t>
  </si>
  <si>
    <t>年 初 数</t>
  </si>
  <si>
    <t>期 末 数</t>
  </si>
  <si>
    <t xml:space="preserve">        制表：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</si>
</sst>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">
    <numFmt numFmtId="176" formatCode="#,##0&quot;￥&quot;;[Red]\-#,##0&quot;￥&quot;"/>
    <numFmt numFmtId="177" formatCode="#,##0.00&quot;￥&quot;;[Red]\-#,##0.00&quot;￥&quot;"/>
    <numFmt numFmtId="178" formatCode="#,##0.00;\-#,##0.00;#"/>
  </numFmts>
  <fonts count="32">
    <font>
      <sz val="10"/>
      <color indexed="8"/>
      <name val="MS Sans Serif"/>
      <charset val="0"/>
    </font>
    <font>
      <b/>
      <sz val="20"/>
      <name val="宋体"/>
      <charset val="134"/>
    </font>
    <font>
      <b/>
      <sz val="18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0"/>
      <color indexed="8"/>
      <name val="Arial"/>
      <charset val="0"/>
    </font>
    <font>
      <sz val="14"/>
      <color indexed="8"/>
      <name val="Arial"/>
      <charset val="0"/>
    </font>
    <font>
      <sz val="14"/>
      <color indexed="8"/>
      <name val="MS Sans Serif"/>
      <charset val="0"/>
    </font>
    <font>
      <sz val="10.5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9" fontId="0" fillId="0" borderId="0" applyFont="0" applyFill="0" applyProtection="0"/>
    <xf numFmtId="176" fontId="0" fillId="0" borderId="0" applyFont="0" applyFill="0" applyProtection="0"/>
    <xf numFmtId="38" fontId="0" fillId="0" borderId="0" applyFont="0" applyFill="0" applyProtection="0"/>
    <xf numFmtId="177" fontId="0" fillId="0" borderId="0" applyFont="0" applyFill="0" applyProtection="0"/>
    <xf numFmtId="40" fontId="0" fillId="0" borderId="0" applyFont="0" applyFill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5" applyNumberFormat="0" applyAlignment="0" applyProtection="0">
      <alignment vertical="center"/>
    </xf>
    <xf numFmtId="0" fontId="22" fillId="4" borderId="16" applyNumberFormat="0" applyAlignment="0" applyProtection="0">
      <alignment vertical="center"/>
    </xf>
    <xf numFmtId="0" fontId="23" fillId="4" borderId="15" applyNumberFormat="0" applyAlignment="0" applyProtection="0">
      <alignment vertical="center"/>
    </xf>
    <xf numFmtId="0" fontId="24" fillId="5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51">
    <xf numFmtId="0" fontId="0" fillId="0" borderId="0" xfId="0"/>
    <xf numFmtId="0" fontId="1" fillId="0" borderId="0" xfId="0" applyNumberFormat="1" applyFont="1" applyFill="1" applyAlignment="1" applyProtection="1">
      <alignment horizontal="centerContinuous"/>
    </xf>
    <xf numFmtId="178" fontId="1" fillId="0" borderId="0" xfId="0" applyNumberFormat="1" applyFont="1" applyFill="1" applyAlignment="1" applyProtection="1">
      <alignment horizontal="centerContinuous"/>
    </xf>
    <xf numFmtId="178" fontId="2" fillId="0" borderId="0" xfId="0" applyNumberFormat="1" applyFont="1" applyFill="1" applyAlignment="1" applyProtection="1">
      <alignment horizontal="centerContinuous" vertical="center"/>
    </xf>
    <xf numFmtId="0" fontId="3" fillId="0" borderId="0" xfId="0" applyNumberFormat="1" applyFont="1" applyFill="1" applyAlignment="1" applyProtection="1">
      <alignment horizontal="left" vertical="center"/>
    </xf>
    <xf numFmtId="178" fontId="3" fillId="0" borderId="0" xfId="0" applyNumberFormat="1" applyFont="1" applyFill="1" applyAlignment="1" applyProtection="1">
      <alignment horizontal="left" vertical="center"/>
    </xf>
    <xf numFmtId="178" fontId="3" fillId="0" borderId="0" xfId="0" applyNumberFormat="1" applyFont="1" applyFill="1" applyAlignment="1" applyProtection="1">
      <alignment horizontal="right" vertical="center"/>
    </xf>
    <xf numFmtId="178" fontId="4" fillId="0" borderId="0" xfId="0" applyNumberFormat="1" applyFont="1" applyFill="1" applyAlignment="1" applyProtection="1">
      <alignment horizontal="centerContinuous" vertical="center"/>
    </xf>
    <xf numFmtId="178" fontId="4" fillId="0" borderId="0" xfId="0" applyNumberFormat="1" applyFont="1" applyFill="1" applyAlignment="1" applyProtection="1">
      <alignment horizontal="left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178" fontId="5" fillId="0" borderId="1" xfId="0" applyNumberFormat="1" applyFont="1" applyFill="1" applyBorder="1" applyAlignment="1" applyProtection="1">
      <alignment horizontal="center" vertical="center"/>
    </xf>
    <xf numFmtId="178" fontId="5" fillId="0" borderId="2" xfId="0" applyNumberFormat="1" applyFont="1" applyFill="1" applyBorder="1" applyAlignment="1" applyProtection="1">
      <alignment horizontal="center" vertical="center"/>
    </xf>
    <xf numFmtId="0" fontId="6" fillId="0" borderId="3" xfId="0" applyNumberFormat="1" applyFont="1" applyFill="1" applyBorder="1" applyAlignment="1" applyProtection="1">
      <alignment vertical="center"/>
    </xf>
    <xf numFmtId="178" fontId="4" fillId="0" borderId="2" xfId="0" applyNumberFormat="1" applyFont="1" applyFill="1" applyBorder="1" applyAlignment="1" applyProtection="1">
      <alignment horizontal="right" vertical="center"/>
    </xf>
    <xf numFmtId="178" fontId="6" fillId="0" borderId="4" xfId="0" applyNumberFormat="1" applyFont="1" applyFill="1" applyBorder="1" applyAlignment="1" applyProtection="1">
      <alignment vertical="center"/>
    </xf>
    <xf numFmtId="178" fontId="4" fillId="0" borderId="5" xfId="0" applyNumberFormat="1" applyFont="1" applyFill="1" applyBorder="1" applyAlignment="1" applyProtection="1">
      <alignment horizontal="right" vertical="center"/>
    </xf>
    <xf numFmtId="178" fontId="4" fillId="0" borderId="6" xfId="0" applyNumberFormat="1" applyFont="1" applyFill="1" applyBorder="1" applyAlignment="1" applyProtection="1">
      <alignment horizontal="right" vertical="center"/>
    </xf>
    <xf numFmtId="0" fontId="4" fillId="0" borderId="3" xfId="0" applyNumberFormat="1" applyFont="1" applyFill="1" applyBorder="1" applyAlignment="1" applyProtection="1">
      <alignment vertical="center"/>
    </xf>
    <xf numFmtId="178" fontId="4" fillId="0" borderId="4" xfId="0" applyNumberFormat="1" applyFont="1" applyFill="1" applyBorder="1" applyAlignment="1" applyProtection="1">
      <alignment vertical="center"/>
    </xf>
    <xf numFmtId="0" fontId="4" fillId="0" borderId="4" xfId="0" applyNumberFormat="1" applyFont="1" applyFill="1" applyBorder="1" applyAlignment="1" applyProtection="1">
      <alignment vertical="center"/>
    </xf>
    <xf numFmtId="178" fontId="4" fillId="0" borderId="2" xfId="0" applyNumberFormat="1" applyFont="1" applyFill="1" applyBorder="1" applyAlignment="1" applyProtection="1">
      <alignment vertical="center"/>
    </xf>
    <xf numFmtId="178" fontId="4" fillId="0" borderId="7" xfId="0" applyNumberFormat="1" applyFont="1" applyFill="1" applyBorder="1" applyAlignment="1" applyProtection="1">
      <alignment horizontal="right" vertical="center"/>
    </xf>
    <xf numFmtId="178" fontId="6" fillId="0" borderId="2" xfId="0" applyNumberFormat="1" applyFont="1" applyFill="1" applyBorder="1" applyAlignment="1" applyProtection="1">
      <alignment horizontal="right" vertical="center"/>
    </xf>
    <xf numFmtId="178" fontId="4" fillId="0" borderId="1" xfId="0" applyNumberFormat="1" applyFont="1" applyFill="1" applyBorder="1" applyAlignment="1" applyProtection="1">
      <alignment horizontal="right" vertical="center"/>
    </xf>
    <xf numFmtId="178" fontId="4" fillId="0" borderId="8" xfId="0" applyNumberFormat="1" applyFont="1" applyFill="1" applyBorder="1" applyAlignment="1" applyProtection="1">
      <alignment horizontal="right" vertical="center"/>
    </xf>
    <xf numFmtId="0" fontId="6" fillId="0" borderId="4" xfId="0" applyNumberFormat="1" applyFont="1" applyFill="1" applyBorder="1" applyAlignment="1" applyProtection="1">
      <alignment vertical="center"/>
    </xf>
    <xf numFmtId="178" fontId="6" fillId="0" borderId="1" xfId="0" applyNumberFormat="1" applyFont="1" applyFill="1" applyBorder="1" applyAlignment="1" applyProtection="1">
      <alignment horizontal="right" vertical="center"/>
    </xf>
    <xf numFmtId="0" fontId="5" fillId="0" borderId="9" xfId="0" applyNumberFormat="1" applyFont="1" applyFill="1" applyBorder="1" applyAlignment="1" applyProtection="1">
      <alignment horizontal="center" vertical="center"/>
    </xf>
    <xf numFmtId="178" fontId="5" fillId="0" borderId="6" xfId="0" applyNumberFormat="1" applyFont="1" applyFill="1" applyBorder="1" applyAlignment="1" applyProtection="1">
      <alignment horizontal="right" vertical="center"/>
    </xf>
    <xf numFmtId="178" fontId="5" fillId="0" borderId="10" xfId="0" applyNumberFormat="1" applyFont="1" applyFill="1" applyBorder="1" applyAlignment="1" applyProtection="1">
      <alignment horizontal="center" vertical="center"/>
    </xf>
    <xf numFmtId="178" fontId="5" fillId="0" borderId="2" xfId="0" applyNumberFormat="1" applyFont="1" applyFill="1" applyBorder="1" applyAlignment="1" applyProtection="1">
      <alignment horizontal="right" vertical="center"/>
    </xf>
    <xf numFmtId="0" fontId="4" fillId="0" borderId="11" xfId="0" applyNumberFormat="1" applyFont="1" applyFill="1" applyBorder="1" applyAlignment="1" applyProtection="1"/>
    <xf numFmtId="0" fontId="3" fillId="0" borderId="0" xfId="0" applyNumberFormat="1" applyFont="1" applyFill="1" applyAlignment="1" applyProtection="1">
      <alignment horizontal="center"/>
    </xf>
    <xf numFmtId="178" fontId="3" fillId="0" borderId="0" xfId="0" applyNumberFormat="1" applyFont="1" applyFill="1" applyAlignment="1" applyProtection="1"/>
    <xf numFmtId="0" fontId="3" fillId="0" borderId="0" xfId="0" applyNumberFormat="1" applyFont="1" applyFill="1" applyAlignment="1" applyProtection="1"/>
    <xf numFmtId="0" fontId="7" fillId="0" borderId="0" xfId="0" applyNumberFormat="1" applyFont="1" applyFill="1" applyAlignment="1" applyProtection="1"/>
    <xf numFmtId="0" fontId="8" fillId="0" borderId="0" xfId="0" applyFont="1"/>
    <xf numFmtId="0" fontId="0" fillId="0" borderId="0" xfId="0" applyAlignment="1">
      <alignment vertical="center"/>
    </xf>
    <xf numFmtId="0" fontId="7" fillId="0" borderId="0" xfId="0" applyNumberFormat="1" applyFont="1" applyFill="1" applyAlignment="1" applyProtection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0" borderId="2" xfId="0" applyNumberFormat="1" applyFont="1" applyFill="1" applyBorder="1" applyAlignment="1" applyProtection="1">
      <alignment vertical="center"/>
    </xf>
    <xf numFmtId="178" fontId="3" fillId="0" borderId="2" xfId="0" applyNumberFormat="1" applyFont="1" applyFill="1" applyBorder="1" applyAlignment="1" applyProtection="1">
      <alignment vertical="center"/>
    </xf>
    <xf numFmtId="0" fontId="5" fillId="0" borderId="2" xfId="0" applyNumberFormat="1" applyFont="1" applyFill="1" applyBorder="1" applyAlignment="1" applyProtection="1">
      <alignment vertical="center"/>
    </xf>
    <xf numFmtId="178" fontId="5" fillId="0" borderId="2" xfId="0" applyNumberFormat="1" applyFont="1" applyFill="1" applyBorder="1" applyAlignment="1" applyProtection="1">
      <alignment vertical="center"/>
    </xf>
    <xf numFmtId="0" fontId="10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7" fillId="0" borderId="0" xfId="0" applyNumberFormat="1" applyFont="1" applyFill="1" applyAlignment="1" applyProtection="1">
      <alignment horizontal="center"/>
    </xf>
    <xf numFmtId="178" fontId="7" fillId="0" borderId="0" xfId="0" applyNumberFormat="1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V484"/>
  <sheetViews>
    <sheetView showGridLines="0" showOutlineSymbols="0" tabSelected="1" zoomScaleSheetLayoutView="60" workbookViewId="0">
      <selection activeCell="B3" sqref="B3"/>
    </sheetView>
  </sheetViews>
  <sheetFormatPr defaultColWidth="9.14285714285714" defaultRowHeight="18" customHeight="1"/>
  <cols>
    <col min="1" max="1" width="32.8571428571429" style="35" customWidth="1"/>
    <col min="2" max="2" width="16.8571428571429" style="49" customWidth="1"/>
    <col min="3" max="3" width="16.2857142857143" style="50" customWidth="1"/>
    <col min="4" max="4" width="27.1428571428571" style="50" customWidth="1"/>
    <col min="5" max="5" width="18.2857142857143" style="35" customWidth="1"/>
    <col min="6" max="6" width="15.5714285714286" style="49" customWidth="1"/>
    <col min="7" max="8" width="16.5714285714286" style="50" customWidth="1"/>
    <col min="9" max="9" width="9.14285714285714" style="35" customWidth="1"/>
    <col min="10" max="16384" width="9.14285714285714" customWidth="1"/>
  </cols>
  <sheetData>
    <row r="1" ht="28.35" customHeight="1" spans="1:256">
      <c r="A1" s="1" t="s">
        <v>0</v>
      </c>
      <c r="B1" s="1"/>
      <c r="C1" s="2"/>
      <c r="D1" s="2"/>
      <c r="E1" s="1"/>
      <c r="F1" s="1"/>
      <c r="G1"/>
      <c r="H1" s="2"/>
    </row>
    <row r="2" ht="18.75" customHeight="1" spans="1:256">
      <c r="A2" s="4"/>
      <c r="B2" s="4"/>
      <c r="C2" s="5"/>
      <c r="D2" s="4"/>
      <c r="E2" s="4"/>
      <c r="F2" s="6" t="s">
        <v>1</v>
      </c>
      <c r="G2"/>
      <c r="H2"/>
    </row>
    <row r="3" ht="30.75" customHeight="1" spans="1:256">
      <c r="A3" s="4" t="s">
        <v>2</v>
      </c>
      <c r="B3" s="4"/>
      <c r="C3" s="4" t="s">
        <v>3</v>
      </c>
      <c r="D3" s="4"/>
      <c r="E3" s="4"/>
      <c r="F3" s="6" t="s">
        <v>4</v>
      </c>
      <c r="G3"/>
      <c r="H3"/>
      <c r="J3" s="36"/>
      <c r="K3" s="36"/>
    </row>
    <row r="4" s="37" customFormat="1" ht="21.75" customHeight="1" spans="1:256">
      <c r="A4" s="9" t="s">
        <v>5</v>
      </c>
      <c r="B4" s="9" t="s">
        <v>6</v>
      </c>
      <c r="C4" s="10" t="s">
        <v>7</v>
      </c>
      <c r="D4" s="10" t="s">
        <v>8</v>
      </c>
      <c r="E4" s="9" t="s">
        <v>6</v>
      </c>
      <c r="F4" s="9" t="s">
        <v>7</v>
      </c>
      <c r="G4"/>
      <c r="I4" s="38"/>
      <c r="J4" s="39"/>
      <c r="K4" s="39"/>
    </row>
    <row r="5" s="37" customFormat="1" ht="21.75" customHeight="1" spans="1:256">
      <c r="A5" s="12" t="s">
        <v>9</v>
      </c>
      <c r="B5" s="13" t="s">
        <v>10</v>
      </c>
      <c r="C5" s="13"/>
      <c r="D5" s="14" t="s">
        <v>11</v>
      </c>
      <c r="E5" s="13" t="s">
        <v>10</v>
      </c>
      <c r="F5" s="13" t="s">
        <v>10</v>
      </c>
      <c r="G5"/>
      <c r="I5" s="38"/>
      <c r="J5" s="39"/>
      <c r="K5" s="39"/>
    </row>
    <row r="6" s="37" customFormat="1" ht="21.75" customHeight="1" spans="1:256">
      <c r="A6" s="17" t="s">
        <v>12</v>
      </c>
      <c r="B6" s="13" t="s">
        <v>13</v>
      </c>
      <c r="C6" s="13" t="s">
        <v>14</v>
      </c>
      <c r="D6" s="18" t="s">
        <v>15</v>
      </c>
      <c r="E6" s="13" t="s">
        <v>16</v>
      </c>
      <c r="F6" s="13" t="s">
        <v>17</v>
      </c>
      <c r="G6"/>
      <c r="I6" s="38"/>
      <c r="J6" s="39"/>
      <c r="K6" s="39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</row>
    <row r="7" s="47" customFormat="1" ht="21.75" customHeight="1" spans="1:256">
      <c r="A7" s="17" t="s">
        <v>18</v>
      </c>
      <c r="B7" s="13" t="s">
        <v>19</v>
      </c>
      <c r="C7" s="13" t="s">
        <v>20</v>
      </c>
      <c r="D7" s="18" t="s">
        <v>21</v>
      </c>
      <c r="E7" s="13" t="s">
        <v>22</v>
      </c>
      <c r="F7" s="13" t="s">
        <v>23</v>
      </c>
      <c r="G7"/>
      <c r="H7" s="37"/>
      <c r="I7" s="38"/>
      <c r="J7" s="40"/>
      <c r="K7" s="4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 s="41"/>
      <c r="DL7" s="41"/>
      <c r="DM7" s="41"/>
      <c r="DN7" s="41"/>
      <c r="DO7" s="41"/>
      <c r="DP7" s="41"/>
      <c r="DQ7" s="41"/>
      <c r="DR7" s="41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 s="41"/>
    </row>
    <row r="8" s="48" customFormat="1" ht="21.75" customHeight="1" spans="1:256">
      <c r="A8" s="17" t="s">
        <v>24</v>
      </c>
      <c r="B8" s="13" t="s">
        <v>25</v>
      </c>
      <c r="C8" s="13" t="s">
        <v>26</v>
      </c>
      <c r="D8" s="18" t="s">
        <v>27</v>
      </c>
      <c r="E8" s="13" t="s">
        <v>28</v>
      </c>
      <c r="F8" s="13" t="s">
        <v>29</v>
      </c>
      <c r="G8"/>
      <c r="H8" s="37"/>
      <c r="I8" s="3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 s="42"/>
    </row>
    <row r="9" s="48" customFormat="1" ht="21.75" customHeight="1" spans="1:256">
      <c r="A9" s="17" t="s">
        <v>30</v>
      </c>
      <c r="B9" s="13" t="s">
        <v>31</v>
      </c>
      <c r="C9" s="13" t="s">
        <v>32</v>
      </c>
      <c r="D9" s="18" t="s">
        <v>33</v>
      </c>
      <c r="E9" s="13" t="s">
        <v>34</v>
      </c>
      <c r="F9" s="13" t="s">
        <v>35</v>
      </c>
      <c r="G9"/>
      <c r="H9" s="37"/>
      <c r="I9" s="38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</row>
    <row r="10" s="48" customFormat="1" ht="21.75" customHeight="1" spans="1:256">
      <c r="A10" s="17" t="s">
        <v>36</v>
      </c>
      <c r="B10" s="13" t="s">
        <v>37</v>
      </c>
      <c r="C10" s="13" t="s">
        <v>38</v>
      </c>
      <c r="D10" s="18" t="s">
        <v>39</v>
      </c>
      <c r="E10" s="13" t="s">
        <v>40</v>
      </c>
      <c r="F10" s="13" t="s">
        <v>41</v>
      </c>
      <c r="G10"/>
      <c r="H10" s="37"/>
      <c r="I10" s="38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 s="42"/>
      <c r="DL10" s="42"/>
      <c r="DM10" s="42"/>
      <c r="DN10" s="42"/>
      <c r="DO10" s="42"/>
      <c r="DP10" s="42"/>
      <c r="DQ10" s="42"/>
      <c r="DR10" s="42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 s="42"/>
    </row>
    <row r="11" s="48" customFormat="1" customHeight="1" spans="1:256">
      <c r="A11" s="17" t="s">
        <v>42</v>
      </c>
      <c r="B11" s="13" t="s">
        <v>43</v>
      </c>
      <c r="C11" s="13" t="s">
        <v>44</v>
      </c>
      <c r="D11" s="18" t="s">
        <v>45</v>
      </c>
      <c r="E11" s="13" t="s">
        <v>46</v>
      </c>
      <c r="F11" s="13" t="s">
        <v>47</v>
      </c>
      <c r="G11"/>
      <c r="H11" s="37"/>
      <c r="I11" s="38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 s="42"/>
      <c r="DL11" s="42"/>
      <c r="DM11" s="42"/>
      <c r="DN11" s="42"/>
      <c r="DO11" s="42"/>
      <c r="DP11" s="42"/>
      <c r="DQ11" s="42"/>
      <c r="DR11" s="42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 s="42"/>
    </row>
    <row r="12" s="48" customFormat="1" customHeight="1" spans="1:256">
      <c r="A12" s="17" t="s">
        <v>48</v>
      </c>
      <c r="B12" s="13" t="s">
        <v>49</v>
      </c>
      <c r="C12" s="13" t="s">
        <v>50</v>
      </c>
      <c r="D12" s="18" t="s">
        <v>51</v>
      </c>
      <c r="E12" s="13" t="s">
        <v>52</v>
      </c>
      <c r="F12" s="13" t="s">
        <v>53</v>
      </c>
      <c r="G12"/>
      <c r="H12" s="37"/>
      <c r="I12" s="38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 s="42"/>
    </row>
    <row r="13" s="48" customFormat="1" customHeight="1" spans="1:256">
      <c r="A13" s="17" t="s">
        <v>54</v>
      </c>
      <c r="B13" s="13" t="s">
        <v>55</v>
      </c>
      <c r="C13" s="13" t="s">
        <v>56</v>
      </c>
      <c r="D13" s="18" t="s">
        <v>57</v>
      </c>
      <c r="E13" s="13" t="s">
        <v>58</v>
      </c>
      <c r="F13" s="13" t="s">
        <v>59</v>
      </c>
      <c r="G13"/>
      <c r="H13" s="37"/>
      <c r="I13" s="38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 s="42"/>
    </row>
    <row r="14" s="48" customFormat="1" ht="21.75" customHeight="1" spans="1:256">
      <c r="A14" s="17" t="s">
        <v>60</v>
      </c>
      <c r="B14" s="13" t="s">
        <v>61</v>
      </c>
      <c r="C14" s="13" t="s">
        <v>62</v>
      </c>
      <c r="D14" s="19" t="s">
        <v>63</v>
      </c>
      <c r="E14" s="13" t="s">
        <v>64</v>
      </c>
      <c r="F14" s="13" t="s">
        <v>65</v>
      </c>
      <c r="G14"/>
      <c r="H14" s="37"/>
      <c r="I14" s="38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 s="42"/>
    </row>
    <row r="15" s="48" customFormat="1" ht="21.75" customHeight="1" spans="1:256">
      <c r="A15" s="17" t="s">
        <v>66</v>
      </c>
      <c r="B15" s="13" t="s">
        <v>67</v>
      </c>
      <c r="C15" s="13" t="s">
        <v>68</v>
      </c>
      <c r="D15" s="18" t="s">
        <v>69</v>
      </c>
      <c r="E15" s="13" t="s">
        <v>70</v>
      </c>
      <c r="F15" s="13" t="s">
        <v>71</v>
      </c>
      <c r="G15"/>
      <c r="H15" s="37"/>
      <c r="I15" s="38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 s="42"/>
    </row>
    <row r="16" s="48" customFormat="1" ht="21.75" customHeight="1" spans="1:256">
      <c r="A16" s="17" t="s">
        <v>72</v>
      </c>
      <c r="B16" s="13" t="s">
        <v>73</v>
      </c>
      <c r="C16" s="13" t="s">
        <v>74</v>
      </c>
      <c r="D16" s="18" t="s">
        <v>75</v>
      </c>
      <c r="E16" s="13" t="s">
        <v>76</v>
      </c>
      <c r="F16" s="13" t="s">
        <v>77</v>
      </c>
      <c r="G16"/>
      <c r="H16" s="37"/>
      <c r="I16" s="38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 s="42"/>
    </row>
    <row r="17" s="48" customFormat="1" customHeight="1" spans="1:256">
      <c r="A17" s="17" t="s">
        <v>78</v>
      </c>
      <c r="B17" s="13">
        <v>0</v>
      </c>
      <c r="C17" s="13">
        <v>0</v>
      </c>
      <c r="D17" s="19" t="s">
        <v>79</v>
      </c>
      <c r="E17" s="13" t="s">
        <v>80</v>
      </c>
      <c r="F17" s="13" t="s">
        <v>81</v>
      </c>
      <c r="G17"/>
      <c r="H17" s="37"/>
      <c r="I17" s="38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 s="42"/>
    </row>
    <row r="18" s="48" customFormat="1" ht="21.75" customHeight="1" spans="1:256">
      <c r="A18" s="17" t="s">
        <v>82</v>
      </c>
      <c r="B18" s="13">
        <v>0</v>
      </c>
      <c r="C18" s="13">
        <v>0</v>
      </c>
      <c r="D18" s="19" t="s">
        <v>83</v>
      </c>
      <c r="E18" s="13">
        <v>0</v>
      </c>
      <c r="F18" s="13">
        <v>0</v>
      </c>
      <c r="G18"/>
      <c r="H18" s="37"/>
      <c r="I18" s="38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 s="42"/>
    </row>
    <row r="19" s="48" customFormat="1" ht="21.75" customHeight="1" spans="1:256">
      <c r="A19" s="12" t="s">
        <v>84</v>
      </c>
      <c r="B19" s="22" t="e">
        <f>B6+B7+B8+B9+B10+B11+B12+B13+B14+B15+B16+B17+B18</f>
        <v>#VALUE!</v>
      </c>
      <c r="C19" s="22" t="e">
        <f>C6+C7+C8+C9+C10+C11+C12+C13+C14+C15+C16+C17+C18</f>
        <v>#VALUE!</v>
      </c>
      <c r="D19" s="18" t="s">
        <v>85</v>
      </c>
      <c r="E19" s="13">
        <v>0</v>
      </c>
      <c r="F19" s="13">
        <v>0</v>
      </c>
      <c r="G19"/>
      <c r="H19" s="37"/>
      <c r="I19" s="38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 s="42"/>
    </row>
    <row r="20" s="48" customFormat="1" ht="21.75" customHeight="1" spans="1:256">
      <c r="A20" s="12" t="s">
        <v>86</v>
      </c>
      <c r="B20" s="13" t="s">
        <v>10</v>
      </c>
      <c r="C20" s="13" t="s">
        <v>10</v>
      </c>
      <c r="D20" s="14" t="s">
        <v>87</v>
      </c>
      <c r="E20" s="22" t="e">
        <f>E6+E7+E8+E9+E10+E11+E12+E13+E14+E15+E16+E17+E18+E19</f>
        <v>#VALUE!</v>
      </c>
      <c r="F20" s="22" t="e">
        <f>F6+F7+F8+F9+F10+F11+F12+F13+F14+F15+F16+F17+F18+F19</f>
        <v>#VALUE!</v>
      </c>
      <c r="G20"/>
      <c r="H20" s="37"/>
      <c r="I20" s="38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 s="42"/>
    </row>
    <row r="21" s="48" customFormat="1" ht="21.75" customHeight="1" spans="1:256">
      <c r="A21" s="17" t="s">
        <v>88</v>
      </c>
      <c r="B21" s="13" t="s">
        <v>89</v>
      </c>
      <c r="C21" s="13" t="s">
        <v>90</v>
      </c>
      <c r="D21" s="14" t="s">
        <v>91</v>
      </c>
      <c r="E21" s="13" t="s">
        <v>10</v>
      </c>
      <c r="F21" s="13" t="s">
        <v>10</v>
      </c>
      <c r="G21"/>
      <c r="H21" s="37"/>
      <c r="I21" s="38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 s="42"/>
    </row>
    <row r="22" s="48" customFormat="1" customHeight="1" spans="1:256">
      <c r="A22" s="17" t="s">
        <v>92</v>
      </c>
      <c r="B22" s="13" t="s">
        <v>93</v>
      </c>
      <c r="C22" s="13" t="s">
        <v>94</v>
      </c>
      <c r="D22" s="18" t="s">
        <v>95</v>
      </c>
      <c r="E22" s="13" t="s">
        <v>96</v>
      </c>
      <c r="F22" s="13" t="s">
        <v>97</v>
      </c>
      <c r="G22"/>
      <c r="H22" s="37"/>
      <c r="I22" s="38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 s="42"/>
    </row>
    <row r="23" s="48" customFormat="1" ht="21.75" customHeight="1" spans="1:256">
      <c r="A23" s="17" t="s">
        <v>98</v>
      </c>
      <c r="B23" s="13" t="s">
        <v>99</v>
      </c>
      <c r="C23" s="13" t="s">
        <v>100</v>
      </c>
      <c r="D23" s="18" t="s">
        <v>101</v>
      </c>
      <c r="E23" s="13" t="s">
        <v>102</v>
      </c>
      <c r="F23" s="13" t="s">
        <v>103</v>
      </c>
      <c r="G23"/>
      <c r="H23" s="37"/>
      <c r="I23" s="38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 s="42"/>
    </row>
    <row r="24" s="48" customFormat="1" ht="21.75" customHeight="1" spans="1:256">
      <c r="A24" s="17" t="s">
        <v>104</v>
      </c>
      <c r="B24" s="13" t="s">
        <v>105</v>
      </c>
      <c r="C24" s="13" t="s">
        <v>106</v>
      </c>
      <c r="D24" s="18" t="s">
        <v>107</v>
      </c>
      <c r="E24" s="13" t="s">
        <v>108</v>
      </c>
      <c r="F24" s="13" t="s">
        <v>109</v>
      </c>
      <c r="G24"/>
      <c r="H24" s="37"/>
      <c r="I24" s="38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 s="42"/>
    </row>
    <row r="25" s="48" customFormat="1" ht="21.75" customHeight="1" spans="1:256">
      <c r="A25" s="17" t="s">
        <v>110</v>
      </c>
      <c r="B25" s="13" t="e">
        <f>B23-B24</f>
        <v>#VALUE!</v>
      </c>
      <c r="C25" s="13" t="e">
        <f>C23-C24</f>
        <v>#VALUE!</v>
      </c>
      <c r="D25" s="18" t="s">
        <v>111</v>
      </c>
      <c r="E25" s="23">
        <v>0</v>
      </c>
      <c r="F25" s="23">
        <v>0</v>
      </c>
      <c r="G25"/>
      <c r="H25" s="37"/>
      <c r="I25" s="38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 s="42"/>
    </row>
    <row r="26" s="48" customFormat="1" customHeight="1" spans="1:256">
      <c r="A26" s="17" t="s">
        <v>112</v>
      </c>
      <c r="B26" s="13" t="s">
        <v>113</v>
      </c>
      <c r="C26" s="13" t="s">
        <v>114</v>
      </c>
      <c r="D26" s="14" t="s">
        <v>115</v>
      </c>
      <c r="E26" s="22" t="e">
        <f>E22+E23+E24+E25</f>
        <v>#VALUE!</v>
      </c>
      <c r="F26" s="22" t="e">
        <f>F22+F23+F24+F25</f>
        <v>#VALUE!</v>
      </c>
      <c r="G26"/>
      <c r="H26" s="37"/>
      <c r="I26" s="38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 s="42"/>
    </row>
    <row r="27" s="48" customFormat="1" ht="21.75" customHeight="1" spans="1:256">
      <c r="A27" s="17" t="s">
        <v>116</v>
      </c>
      <c r="B27" s="13" t="s">
        <v>117</v>
      </c>
      <c r="C27" s="13" t="s">
        <v>118</v>
      </c>
      <c r="D27" s="18" t="s">
        <v>119</v>
      </c>
      <c r="E27" s="24" t="s">
        <v>120</v>
      </c>
      <c r="F27" s="24" t="s">
        <v>121</v>
      </c>
      <c r="G27"/>
      <c r="H27" s="37"/>
      <c r="I27" s="38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 s="42"/>
    </row>
    <row r="28" s="48" customFormat="1" ht="21.75" customHeight="1" spans="1:256">
      <c r="A28" s="17" t="s">
        <v>122</v>
      </c>
      <c r="B28" s="13" t="s">
        <v>123</v>
      </c>
      <c r="C28" s="13" t="s">
        <v>124</v>
      </c>
      <c r="D28" s="14" t="s">
        <v>125</v>
      </c>
      <c r="E28" s="22" t="e">
        <f>E20+E26+E27</f>
        <v>#VALUE!</v>
      </c>
      <c r="F28" s="22" t="e">
        <f>F20+F26+F27</f>
        <v>#VALUE!</v>
      </c>
      <c r="G28"/>
      <c r="H28" s="37"/>
      <c r="I28" s="38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 s="42"/>
    </row>
    <row r="29" s="48" customFormat="1" ht="21.75" customHeight="1" spans="1:256">
      <c r="A29" s="17" t="s">
        <v>126</v>
      </c>
      <c r="B29" s="13" t="s">
        <v>127</v>
      </c>
      <c r="C29" s="13" t="s">
        <v>128</v>
      </c>
      <c r="D29" s="18"/>
      <c r="E29" s="16"/>
      <c r="F29" s="16"/>
      <c r="G29"/>
      <c r="H29" s="37"/>
      <c r="I29" s="38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 s="42"/>
    </row>
    <row r="30" s="48" customFormat="1" ht="21.75" customHeight="1" spans="1:256">
      <c r="A30" s="17" t="s">
        <v>129</v>
      </c>
      <c r="B30" s="13" t="e">
        <f>B28-B29</f>
        <v>#VALUE!</v>
      </c>
      <c r="C30" s="13" t="e">
        <f>C28-C29</f>
        <v>#VALUE!</v>
      </c>
      <c r="D30" s="18"/>
      <c r="E30" s="13"/>
      <c r="F30" s="13"/>
      <c r="G30"/>
      <c r="H30" s="37"/>
      <c r="I30" s="38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 s="42"/>
    </row>
    <row r="31" s="48" customFormat="1" customHeight="1" spans="1:256">
      <c r="A31" s="17" t="s">
        <v>130</v>
      </c>
      <c r="B31" s="13" t="s">
        <v>131</v>
      </c>
      <c r="C31" s="13" t="s">
        <v>132</v>
      </c>
      <c r="D31" s="18"/>
      <c r="E31" s="13"/>
      <c r="F31" s="13"/>
      <c r="G31"/>
      <c r="H31" s="37"/>
      <c r="I31" s="38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 s="42"/>
    </row>
    <row r="32" s="48" customFormat="1" customHeight="1" spans="1:256">
      <c r="A32" s="17" t="s">
        <v>133</v>
      </c>
      <c r="B32" s="13" t="s">
        <v>134</v>
      </c>
      <c r="C32" s="13" t="s">
        <v>135</v>
      </c>
      <c r="D32" s="18"/>
      <c r="E32" s="13"/>
      <c r="F32" s="13"/>
      <c r="G32"/>
      <c r="H32" s="37"/>
      <c r="I32" s="38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 s="42"/>
    </row>
    <row r="33" s="48" customFormat="1" ht="23.25" customHeight="1" spans="1:256">
      <c r="A33" s="17" t="s">
        <v>136</v>
      </c>
      <c r="B33" s="13" t="s">
        <v>137</v>
      </c>
      <c r="C33" s="13" t="s">
        <v>138</v>
      </c>
      <c r="D33" s="18"/>
      <c r="E33" s="13"/>
      <c r="F33" s="13"/>
      <c r="G33"/>
      <c r="H33" s="37"/>
      <c r="I33" s="38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 s="42"/>
    </row>
    <row r="34" s="48" customFormat="1" customHeight="1" spans="1:256">
      <c r="A34" s="17" t="s">
        <v>139</v>
      </c>
      <c r="B34" s="13" t="e">
        <f>B32-B33</f>
        <v>#VALUE!</v>
      </c>
      <c r="C34" s="13" t="e">
        <f>C32-C33</f>
        <v>#VALUE!</v>
      </c>
      <c r="D34" s="18"/>
      <c r="E34" s="13"/>
      <c r="F34" s="13"/>
      <c r="G34"/>
      <c r="H34" s="37"/>
      <c r="I34" s="38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 s="42"/>
    </row>
    <row r="35" s="48" customFormat="1" customHeight="1" spans="1:256">
      <c r="A35" s="17" t="s">
        <v>140</v>
      </c>
      <c r="B35" s="13" t="s">
        <v>141</v>
      </c>
      <c r="C35" s="13" t="s">
        <v>142</v>
      </c>
      <c r="D35" s="18"/>
      <c r="E35" s="13"/>
      <c r="F35" s="13"/>
      <c r="G35"/>
      <c r="H35" s="37"/>
      <c r="I35" s="38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 s="42"/>
    </row>
    <row r="36" s="48" customFormat="1" customHeight="1" spans="1:256">
      <c r="A36" s="17" t="s">
        <v>143</v>
      </c>
      <c r="B36" s="13" t="s">
        <v>144</v>
      </c>
      <c r="C36" s="13" t="s">
        <v>145</v>
      </c>
      <c r="D36" s="18"/>
      <c r="E36" s="13"/>
      <c r="F36" s="13"/>
      <c r="G36"/>
      <c r="H36" s="37"/>
      <c r="I36" s="38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 s="42"/>
    </row>
    <row r="37" s="48" customFormat="1" customHeight="1" spans="1:256">
      <c r="A37" s="17" t="s">
        <v>146</v>
      </c>
      <c r="B37" s="13" t="s">
        <v>147</v>
      </c>
      <c r="C37" s="13" t="s">
        <v>148</v>
      </c>
      <c r="D37" s="18"/>
      <c r="E37" s="13"/>
      <c r="F37" s="13"/>
      <c r="G37"/>
      <c r="H37" s="37"/>
      <c r="I37" s="38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 s="42"/>
    </row>
    <row r="38" s="48" customFormat="1" customHeight="1" spans="1:256">
      <c r="A38" s="17" t="s">
        <v>149</v>
      </c>
      <c r="B38" s="13" t="s">
        <v>150</v>
      </c>
      <c r="C38" s="13" t="s">
        <v>151</v>
      </c>
      <c r="D38" s="14" t="s">
        <v>152</v>
      </c>
      <c r="E38" s="13" t="s">
        <v>10</v>
      </c>
      <c r="F38" s="13" t="s">
        <v>10</v>
      </c>
      <c r="G38"/>
      <c r="H38" s="37"/>
      <c r="I38" s="38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 s="42"/>
    </row>
    <row r="39" s="48" customFormat="1" customHeight="1" spans="1:256">
      <c r="A39" s="17" t="s">
        <v>153</v>
      </c>
      <c r="B39" s="13" t="e">
        <f>B37-B38</f>
        <v>#VALUE!</v>
      </c>
      <c r="C39" s="13" t="e">
        <f>C37-C38</f>
        <v>#VALUE!</v>
      </c>
      <c r="D39" s="18" t="s">
        <v>154</v>
      </c>
      <c r="E39" s="13" t="s">
        <v>155</v>
      </c>
      <c r="F39" s="13" t="s">
        <v>156</v>
      </c>
      <c r="G39"/>
      <c r="H39" s="37"/>
      <c r="I39" s="38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 s="42"/>
    </row>
    <row r="40" s="48" customFormat="1" customHeight="1" spans="1:256">
      <c r="A40" s="17" t="s">
        <v>157</v>
      </c>
      <c r="B40" s="13" t="s">
        <v>158</v>
      </c>
      <c r="C40" s="13" t="s">
        <v>159</v>
      </c>
      <c r="D40" s="18" t="s">
        <v>160</v>
      </c>
      <c r="E40" s="13" t="s">
        <v>161</v>
      </c>
      <c r="F40" s="13" t="s">
        <v>162</v>
      </c>
      <c r="G40"/>
      <c r="H40" s="37"/>
      <c r="I40" s="38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 s="42"/>
    </row>
    <row r="41" s="48" customFormat="1" ht="21.75" customHeight="1" spans="1:256">
      <c r="A41" s="17" t="s">
        <v>163</v>
      </c>
      <c r="B41" s="13" t="s">
        <v>164</v>
      </c>
      <c r="C41" s="13" t="s">
        <v>165</v>
      </c>
      <c r="D41" s="18" t="s">
        <v>166</v>
      </c>
      <c r="E41" s="13" t="s">
        <v>167</v>
      </c>
      <c r="F41" s="13" t="s">
        <v>168</v>
      </c>
      <c r="G41"/>
      <c r="H41" s="37"/>
      <c r="I41" s="38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 s="42"/>
    </row>
    <row r="42" s="48" customFormat="1" customHeight="1" spans="1:256">
      <c r="A42" s="17" t="s">
        <v>169</v>
      </c>
      <c r="B42" s="13">
        <v>0</v>
      </c>
      <c r="C42" s="13">
        <v>0</v>
      </c>
      <c r="D42" s="18" t="s">
        <v>170</v>
      </c>
      <c r="E42" s="13" t="s">
        <v>171</v>
      </c>
      <c r="F42" s="13" t="s">
        <v>172</v>
      </c>
      <c r="G42"/>
      <c r="H42" s="37"/>
      <c r="I42" s="38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 s="42"/>
    </row>
    <row r="43" s="48" customFormat="1" ht="21.75" customHeight="1" spans="1:256">
      <c r="A43" s="12" t="s">
        <v>173</v>
      </c>
      <c r="B43" s="22" t="e">
        <f>B21+B22+B25+B26+B27+B30+B31+B34+B35+B36+B39+B40+B41+B42</f>
        <v>#VALUE!</v>
      </c>
      <c r="C43" s="22" t="e">
        <f>C21+C22+C25+C26+C27+C30+C31+C34+C35+C36+C39+C40+C41+C42</f>
        <v>#VALUE!</v>
      </c>
      <c r="D43" s="18" t="s">
        <v>174</v>
      </c>
      <c r="E43" s="23" t="s">
        <v>175</v>
      </c>
      <c r="F43" s="23" t="s">
        <v>176</v>
      </c>
      <c r="G43"/>
      <c r="H43" s="37"/>
      <c r="I43" s="38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  <c r="DP43" s="42"/>
      <c r="DQ43" s="42"/>
      <c r="DR43" s="42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 s="42"/>
    </row>
    <row r="44" s="48" customFormat="1" ht="21.75" customHeight="1" spans="1:256">
      <c r="A44" s="17" t="s">
        <v>177</v>
      </c>
      <c r="B44" s="13" t="s">
        <v>178</v>
      </c>
      <c r="C44" s="13" t="s">
        <v>179</v>
      </c>
      <c r="D44" s="25" t="s">
        <v>180</v>
      </c>
      <c r="E44" s="26" t="e">
        <f>E39+E40+E41+E42+E43</f>
        <v>#VALUE!</v>
      </c>
      <c r="F44" s="26" t="e">
        <f>F39+F40+F41+F42+F43</f>
        <v>#VALUE!</v>
      </c>
      <c r="G44"/>
      <c r="H44" s="37"/>
      <c r="I44" s="38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42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 s="42"/>
    </row>
    <row r="45" s="48" customFormat="1" ht="21.75" customHeight="1" spans="1:256">
      <c r="A45" s="27" t="s">
        <v>181</v>
      </c>
      <c r="B45" s="28" t="e">
        <f>B19+B43+B44</f>
        <v>#VALUE!</v>
      </c>
      <c r="C45" s="28" t="e">
        <f>C19+C43+C44</f>
        <v>#VALUE!</v>
      </c>
      <c r="D45" s="29" t="s">
        <v>182</v>
      </c>
      <c r="E45" s="30" t="e">
        <f>E28+E44</f>
        <v>#VALUE!</v>
      </c>
      <c r="F45" s="30" t="e">
        <f>F28+F44</f>
        <v>#VALUE!</v>
      </c>
      <c r="G45"/>
      <c r="H45" s="37"/>
      <c r="I45" s="38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42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 s="42"/>
    </row>
    <row r="46" customHeight="1" spans="1:256">
      <c r="A46" s="31" t="s">
        <v>183</v>
      </c>
      <c r="B46" s="32"/>
      <c r="C46" s="33"/>
      <c r="D46" s="33"/>
      <c r="E46" s="34"/>
      <c r="F46" s="32"/>
      <c r="G46"/>
      <c r="H46"/>
      <c r="J46" s="36"/>
      <c r="K46" s="36"/>
    </row>
    <row r="47" ht="30" customHeight="1" spans="1:256">
      <c r="A47" s="34" t="s">
        <v>184</v>
      </c>
      <c r="B47" s="32"/>
      <c r="C47" s="33" t="s">
        <v>185</v>
      </c>
      <c r="D47" s="33"/>
      <c r="E47" s="34" t="s">
        <v>186</v>
      </c>
      <c r="F47" s="32"/>
      <c r="G47"/>
      <c r="H47"/>
      <c r="J47" s="36"/>
      <c r="K47" s="36"/>
    </row>
    <row r="48" ht="17.25" customHeight="1" spans="1:256">
      <c r="A48" s="34"/>
      <c r="B48" s="32"/>
      <c r="C48" s="33"/>
      <c r="D48" s="33"/>
      <c r="E48" s="34"/>
      <c r="F48" s="32"/>
      <c r="G48"/>
      <c r="H48"/>
      <c r="J48" s="36"/>
      <c r="K48" s="36"/>
    </row>
    <row r="49" ht="12.75" customHeight="1" spans="10:11">
      <c r="J49" s="36"/>
      <c r="K49" s="36"/>
    </row>
    <row r="50" ht="12.75" customHeight="1" spans="10:11">
      <c r="J50" s="36"/>
      <c r="K50" s="36"/>
    </row>
    <row r="51" ht="12.75" customHeight="1" spans="10:11">
      <c r="J51" s="36"/>
      <c r="K51" s="36"/>
    </row>
    <row r="52" ht="12.75" customHeight="1" spans="10:11">
      <c r="J52" s="36"/>
      <c r="K52" s="36"/>
    </row>
    <row r="53" ht="12.75" customHeight="1" spans="10:11">
      <c r="J53" s="36"/>
      <c r="K53" s="36"/>
    </row>
    <row r="54" ht="12.75" customHeight="1" spans="10:11">
      <c r="J54" s="36"/>
      <c r="K54" s="36"/>
    </row>
    <row r="55" ht="12.75" customHeight="1" spans="10:11">
      <c r="J55" s="36"/>
      <c r="K55" s="36"/>
    </row>
    <row r="56" ht="12.75" customHeight="1" spans="10:11">
      <c r="J56" s="36"/>
      <c r="K56" s="36"/>
    </row>
    <row r="57" ht="12.75" customHeight="1" spans="10:11">
      <c r="J57" s="36"/>
      <c r="K57" s="36"/>
    </row>
    <row r="58" ht="12.75" customHeight="1" spans="10:11">
      <c r="J58" s="36"/>
      <c r="K58" s="36"/>
    </row>
    <row r="59" ht="12.75" customHeight="1" spans="10:11">
      <c r="J59" s="36"/>
      <c r="K59" s="36"/>
    </row>
    <row r="60" ht="12.75" customHeight="1" spans="10:11">
      <c r="J60" s="36"/>
      <c r="K60" s="36"/>
    </row>
    <row r="61" ht="12.75" customHeight="1" spans="10:11">
      <c r="J61" s="36"/>
      <c r="K61" s="36"/>
    </row>
    <row r="62" ht="12.75" customHeight="1" spans="10:11">
      <c r="J62" s="36"/>
      <c r="K62" s="36"/>
    </row>
    <row r="63" ht="12.75" customHeight="1" spans="10:11">
      <c r="J63" s="36"/>
      <c r="K63" s="36"/>
    </row>
    <row r="64" ht="12.75" customHeight="1" spans="10:11">
      <c r="J64" s="36"/>
      <c r="K64" s="36"/>
    </row>
    <row r="65" ht="12.75" customHeight="1" spans="10:11">
      <c r="J65" s="36"/>
      <c r="K65" s="36"/>
    </row>
    <row r="66" ht="12.75" customHeight="1" spans="10:11">
      <c r="J66" s="36"/>
      <c r="K66" s="36"/>
    </row>
    <row r="67" ht="12.75" customHeight="1" spans="10:11">
      <c r="J67" s="36"/>
      <c r="K67" s="36"/>
    </row>
    <row r="68" ht="12.75" customHeight="1" spans="10:11">
      <c r="J68" s="36"/>
      <c r="K68" s="36"/>
    </row>
    <row r="69" ht="12.75" customHeight="1" spans="10:11">
      <c r="J69" s="36"/>
      <c r="K69" s="36"/>
    </row>
    <row r="70" ht="12.75" customHeight="1" spans="10:11">
      <c r="J70" s="36"/>
      <c r="K70" s="36"/>
    </row>
    <row r="71" ht="12.75" customHeight="1" spans="10:11">
      <c r="J71" s="36"/>
      <c r="K71" s="36"/>
    </row>
    <row r="72" ht="12.75" customHeight="1" spans="10:11">
      <c r="J72" s="36"/>
      <c r="K72" s="36"/>
    </row>
    <row r="73" ht="12.75" customHeight="1" spans="10:11">
      <c r="J73" s="36"/>
      <c r="K73" s="36"/>
    </row>
    <row r="74" ht="12.75" customHeight="1" spans="10:11">
      <c r="J74" s="36"/>
      <c r="K74" s="36"/>
    </row>
    <row r="75" ht="12.75" customHeight="1" spans="10:11">
      <c r="J75" s="36"/>
      <c r="K75" s="36"/>
    </row>
    <row r="76" ht="12.75" customHeight="1" spans="10:11">
      <c r="J76" s="36"/>
      <c r="K76" s="36"/>
    </row>
    <row r="77" ht="12.75" customHeight="1" spans="10:11">
      <c r="J77" s="36"/>
      <c r="K77" s="36"/>
    </row>
    <row r="78" ht="12.75" customHeight="1" spans="10:11">
      <c r="J78" s="36"/>
      <c r="K78" s="36"/>
    </row>
    <row r="79" ht="12.75" customHeight="1" spans="10:11">
      <c r="J79" s="36"/>
      <c r="K79" s="36"/>
    </row>
    <row r="80" ht="12.75" customHeight="1" spans="10:11">
      <c r="J80" s="36"/>
      <c r="K80" s="36"/>
    </row>
    <row r="81" ht="12.75" customHeight="1" spans="10:11">
      <c r="J81" s="36"/>
      <c r="K81" s="36"/>
    </row>
    <row r="82" ht="12.75" customHeight="1" spans="10:11">
      <c r="J82" s="36"/>
      <c r="K82" s="36"/>
    </row>
    <row r="83" ht="12.75" customHeight="1" spans="10:11">
      <c r="J83" s="36"/>
      <c r="K83" s="36"/>
    </row>
    <row r="84" ht="12.75" customHeight="1" spans="10:11">
      <c r="J84" s="36"/>
      <c r="K84" s="36"/>
    </row>
    <row r="85" ht="12.75" customHeight="1" spans="10:11">
      <c r="J85" s="36"/>
      <c r="K85" s="36"/>
    </row>
    <row r="86" ht="12.75" customHeight="1" spans="10:11">
      <c r="J86" s="36"/>
      <c r="K86" s="36"/>
    </row>
    <row r="87" ht="12.75" customHeight="1" spans="10:11">
      <c r="J87" s="36"/>
      <c r="K87" s="36"/>
    </row>
    <row r="88" ht="12.75" customHeight="1" spans="10:11">
      <c r="J88" s="36"/>
      <c r="K88" s="36"/>
    </row>
    <row r="89" ht="12.75" customHeight="1" spans="10:11">
      <c r="J89" s="36"/>
      <c r="K89" s="36"/>
    </row>
    <row r="90" ht="12.75" customHeight="1" spans="10:11">
      <c r="J90" s="36"/>
      <c r="K90" s="36"/>
    </row>
    <row r="91" ht="12.75" customHeight="1" spans="10:11">
      <c r="J91" s="36"/>
      <c r="K91" s="36"/>
    </row>
    <row r="92" ht="12.75" customHeight="1" spans="10:11">
      <c r="J92" s="36"/>
      <c r="K92" s="36"/>
    </row>
    <row r="93" ht="12.75" customHeight="1" spans="10:11">
      <c r="J93" s="36"/>
      <c r="K93" s="36"/>
    </row>
    <row r="94" ht="12.75" customHeight="1" spans="10:11">
      <c r="J94" s="36"/>
      <c r="K94" s="36"/>
    </row>
    <row r="95" ht="12.75" customHeight="1" spans="10:11">
      <c r="J95" s="36"/>
      <c r="K95" s="36"/>
    </row>
    <row r="96" ht="12.75" customHeight="1" spans="10:11">
      <c r="J96" s="36"/>
      <c r="K96" s="36"/>
    </row>
    <row r="97" ht="12.75" customHeight="1" spans="10:11">
      <c r="J97" s="36"/>
      <c r="K97" s="36"/>
    </row>
    <row r="98" ht="12.75" customHeight="1" spans="10:11">
      <c r="J98" s="36"/>
      <c r="K98" s="36"/>
    </row>
    <row r="99" ht="12.75" customHeight="1" spans="10:11">
      <c r="J99" s="36"/>
      <c r="K99" s="36"/>
    </row>
    <row r="100" ht="12.75" customHeight="1" spans="10:11">
      <c r="J100" s="36"/>
      <c r="K100" s="36"/>
    </row>
    <row r="101" ht="12.75" customHeight="1" spans="10:11">
      <c r="J101" s="36"/>
      <c r="K101" s="36"/>
    </row>
    <row r="102" ht="12.75" customHeight="1" spans="10:11">
      <c r="J102" s="36"/>
      <c r="K102" s="36"/>
    </row>
    <row r="103" ht="12.75" customHeight="1" spans="10:11">
      <c r="J103" s="36"/>
      <c r="K103" s="36"/>
    </row>
    <row r="104" ht="12.75" customHeight="1" spans="10:11">
      <c r="J104" s="36"/>
      <c r="K104" s="36"/>
    </row>
    <row r="105" ht="12.75" customHeight="1" spans="10:11">
      <c r="J105" s="36"/>
      <c r="K105" s="36"/>
    </row>
    <row r="106" ht="12.75" customHeight="1" spans="10:11">
      <c r="J106" s="36"/>
      <c r="K106" s="36"/>
    </row>
    <row r="107" ht="12.75" customHeight="1" spans="10:11">
      <c r="J107" s="36"/>
      <c r="K107" s="36"/>
    </row>
    <row r="108" ht="12.75" customHeight="1" spans="10:11">
      <c r="J108" s="36"/>
      <c r="K108" s="36"/>
    </row>
    <row r="109" ht="12.75" customHeight="1" spans="10:11">
      <c r="J109" s="36"/>
      <c r="K109" s="36"/>
    </row>
    <row r="110" ht="12.75" customHeight="1" spans="10:11">
      <c r="J110" s="36"/>
      <c r="K110" s="36"/>
    </row>
    <row r="111" ht="12.75" customHeight="1" spans="10:11">
      <c r="J111" s="36"/>
      <c r="K111" s="36"/>
    </row>
    <row r="112" ht="12.75" customHeight="1" spans="10:11">
      <c r="J112" s="36"/>
      <c r="K112" s="36"/>
    </row>
    <row r="113" ht="12.75" customHeight="1" spans="10:11">
      <c r="J113" s="36"/>
      <c r="K113" s="36"/>
    </row>
    <row r="114" ht="12.75" customHeight="1" spans="10:11">
      <c r="J114" s="36"/>
      <c r="K114" s="36"/>
    </row>
    <row r="115" ht="12.75" customHeight="1" spans="10:11">
      <c r="J115" s="36"/>
      <c r="K115" s="36"/>
    </row>
    <row r="116" ht="12.75" customHeight="1" spans="10:11">
      <c r="J116" s="36"/>
      <c r="K116" s="36"/>
    </row>
    <row r="117" ht="12.75" customHeight="1" spans="10:11">
      <c r="J117" s="36"/>
      <c r="K117" s="36"/>
    </row>
    <row r="118" ht="12.75" customHeight="1" spans="10:11">
      <c r="J118" s="36"/>
      <c r="K118" s="36"/>
    </row>
    <row r="119" ht="12.75" customHeight="1" spans="10:11">
      <c r="J119" s="36"/>
      <c r="K119" s="36"/>
    </row>
    <row r="120" ht="12.75" customHeight="1" spans="10:11">
      <c r="J120" s="36"/>
      <c r="K120" s="36"/>
    </row>
    <row r="121" ht="12.75" customHeight="1" spans="10:11">
      <c r="J121" s="36"/>
      <c r="K121" s="36"/>
    </row>
    <row r="122" ht="12.75" customHeight="1" spans="10:11">
      <c r="J122" s="36"/>
      <c r="K122" s="36"/>
    </row>
    <row r="123" ht="12.75" customHeight="1" spans="10:11">
      <c r="J123" s="36"/>
      <c r="K123" s="36"/>
    </row>
    <row r="124" ht="12.75" customHeight="1" spans="10:11">
      <c r="J124" s="36"/>
      <c r="K124" s="36"/>
    </row>
    <row r="125" ht="12.75" customHeight="1" spans="10:11">
      <c r="J125" s="36"/>
      <c r="K125" s="36"/>
    </row>
    <row r="126" ht="12.75" customHeight="1" spans="10:11">
      <c r="J126" s="36"/>
      <c r="K126" s="36"/>
    </row>
    <row r="127" ht="12.75" customHeight="1" spans="10:11">
      <c r="J127" s="36"/>
      <c r="K127" s="36"/>
    </row>
    <row r="128" ht="12.75" customHeight="1" spans="10:11">
      <c r="J128" s="36"/>
      <c r="K128" s="36"/>
    </row>
    <row r="129" ht="12.75" customHeight="1" spans="10:11">
      <c r="J129" s="36"/>
      <c r="K129" s="36"/>
    </row>
    <row r="130" ht="12.75" customHeight="1" spans="10:11">
      <c r="J130" s="36"/>
      <c r="K130" s="36"/>
    </row>
    <row r="131" ht="12.75" customHeight="1" spans="10:11">
      <c r="J131" s="36"/>
      <c r="K131" s="36"/>
    </row>
    <row r="132" ht="12.75" customHeight="1" spans="10:11">
      <c r="J132" s="36"/>
      <c r="K132" s="36"/>
    </row>
    <row r="133" ht="12.75" customHeight="1" spans="10:11">
      <c r="J133" s="36"/>
      <c r="K133" s="36"/>
    </row>
    <row r="134" ht="12.75" customHeight="1" spans="10:11">
      <c r="J134" s="36"/>
      <c r="K134" s="36"/>
    </row>
    <row r="135" ht="12.75" customHeight="1" spans="10:11">
      <c r="J135" s="36"/>
      <c r="K135" s="36"/>
    </row>
    <row r="136" ht="12.75" customHeight="1" spans="10:11">
      <c r="J136" s="36"/>
      <c r="K136" s="36"/>
    </row>
    <row r="137" ht="12.75" customHeight="1" spans="10:11">
      <c r="J137" s="36"/>
      <c r="K137" s="36"/>
    </row>
    <row r="138" ht="12.75" customHeight="1" spans="10:11">
      <c r="J138" s="36"/>
      <c r="K138" s="36"/>
    </row>
    <row r="139" ht="12.75" customHeight="1" spans="10:11">
      <c r="J139" s="36"/>
      <c r="K139" s="36"/>
    </row>
    <row r="140" ht="12.75" customHeight="1" spans="10:11">
      <c r="J140" s="36"/>
      <c r="K140" s="36"/>
    </row>
    <row r="141" ht="12.75" customHeight="1" spans="10:11">
      <c r="J141" s="36"/>
      <c r="K141" s="36"/>
    </row>
    <row r="142" ht="12.75" customHeight="1" spans="10:11">
      <c r="J142" s="36"/>
      <c r="K142" s="36"/>
    </row>
    <row r="143" ht="12.75" customHeight="1" spans="10:11">
      <c r="J143" s="36"/>
      <c r="K143" s="36"/>
    </row>
    <row r="144" ht="12.75" customHeight="1" spans="10:11">
      <c r="J144" s="36"/>
      <c r="K144" s="36"/>
    </row>
    <row r="145" ht="12.75" customHeight="1" spans="10:11">
      <c r="J145" s="36"/>
      <c r="K145" s="36"/>
    </row>
    <row r="146" ht="12.75" customHeight="1" spans="10:11">
      <c r="J146" s="36"/>
      <c r="K146" s="36"/>
    </row>
    <row r="147" ht="12.75" customHeight="1" spans="10:11">
      <c r="J147" s="36"/>
      <c r="K147" s="36"/>
    </row>
    <row r="148" ht="12.75" customHeight="1" spans="10:11">
      <c r="J148" s="36"/>
      <c r="K148" s="36"/>
    </row>
    <row r="149" ht="12.75" customHeight="1" spans="10:11">
      <c r="J149" s="36"/>
      <c r="K149" s="36"/>
    </row>
    <row r="150" ht="12.75" customHeight="1" spans="10:11">
      <c r="J150" s="36"/>
      <c r="K150" s="36"/>
    </row>
    <row r="151" ht="12.75" customHeight="1" spans="10:11">
      <c r="J151" s="36"/>
      <c r="K151" s="36"/>
    </row>
    <row r="152" ht="12.75" customHeight="1" spans="10:11">
      <c r="J152" s="36"/>
      <c r="K152" s="36"/>
    </row>
    <row r="153" ht="12.75" customHeight="1" spans="10:11">
      <c r="J153" s="36"/>
      <c r="K153" s="36"/>
    </row>
    <row r="154" ht="12.75" customHeight="1" spans="10:11">
      <c r="J154" s="36"/>
      <c r="K154" s="36"/>
    </row>
    <row r="155" ht="12.75" customHeight="1" spans="10:11">
      <c r="J155" s="36"/>
      <c r="K155" s="36"/>
    </row>
    <row r="156" ht="12.75" customHeight="1" spans="10:11">
      <c r="J156" s="36"/>
      <c r="K156" s="36"/>
    </row>
    <row r="157" ht="12.75" customHeight="1" spans="10:11">
      <c r="J157" s="36"/>
      <c r="K157" s="36"/>
    </row>
    <row r="158" ht="12.75" customHeight="1" spans="10:11">
      <c r="J158" s="36"/>
      <c r="K158" s="36"/>
    </row>
    <row r="159" ht="12.75" customHeight="1" spans="10:11">
      <c r="J159" s="36"/>
      <c r="K159" s="36"/>
    </row>
    <row r="160" ht="12.75" customHeight="1" spans="10:11">
      <c r="J160" s="36"/>
      <c r="K160" s="36"/>
    </row>
    <row r="161" ht="12.75" customHeight="1" spans="10:11">
      <c r="J161" s="36"/>
      <c r="K161" s="36"/>
    </row>
    <row r="162" ht="12.75" customHeight="1" spans="10:11">
      <c r="J162" s="36"/>
      <c r="K162" s="36"/>
    </row>
    <row r="163" ht="12.75" customHeight="1" spans="10:11">
      <c r="J163" s="36"/>
      <c r="K163" s="36"/>
    </row>
    <row r="164" ht="12.75" customHeight="1" spans="10:11">
      <c r="J164" s="36"/>
      <c r="K164" s="36"/>
    </row>
    <row r="165" ht="12.75" customHeight="1" spans="10:11">
      <c r="J165" s="36"/>
      <c r="K165" s="36"/>
    </row>
    <row r="166" ht="12.75" customHeight="1" spans="10:11">
      <c r="J166" s="36"/>
      <c r="K166" s="36"/>
    </row>
    <row r="167" ht="12.75" customHeight="1" spans="10:11">
      <c r="J167" s="36"/>
      <c r="K167" s="36"/>
    </row>
    <row r="168" ht="12.75" customHeight="1" spans="10:11">
      <c r="J168" s="36"/>
      <c r="K168" s="36"/>
    </row>
    <row r="169" ht="12.75" customHeight="1" spans="10:11">
      <c r="J169" s="36"/>
      <c r="K169" s="36"/>
    </row>
    <row r="170" ht="12.75" customHeight="1" spans="10:11">
      <c r="J170" s="36"/>
      <c r="K170" s="36"/>
    </row>
    <row r="171" ht="12.75" customHeight="1" spans="10:11">
      <c r="J171" s="36"/>
      <c r="K171" s="36"/>
    </row>
    <row r="172" ht="12.75" customHeight="1" spans="10:11">
      <c r="J172" s="36"/>
      <c r="K172" s="36"/>
    </row>
    <row r="173" ht="12.75" customHeight="1" spans="10:11">
      <c r="J173" s="36"/>
      <c r="K173" s="36"/>
    </row>
    <row r="174" ht="12.75" customHeight="1" spans="10:11">
      <c r="J174" s="36"/>
      <c r="K174" s="36"/>
    </row>
    <row r="175" ht="12.75" customHeight="1" spans="10:11">
      <c r="J175" s="36"/>
      <c r="K175" s="36"/>
    </row>
    <row r="176" ht="12.75" customHeight="1" spans="10:11">
      <c r="J176" s="36"/>
      <c r="K176" s="36"/>
    </row>
    <row r="177" ht="12.75" customHeight="1" spans="10:11">
      <c r="J177" s="36"/>
      <c r="K177" s="36"/>
    </row>
    <row r="178" ht="12.75" customHeight="1" spans="10:11">
      <c r="J178" s="36"/>
      <c r="K178" s="36"/>
    </row>
    <row r="179" ht="12.75" customHeight="1" spans="10:11">
      <c r="J179" s="36"/>
      <c r="K179" s="36"/>
    </row>
    <row r="180" ht="12.75" customHeight="1" spans="10:11">
      <c r="J180" s="36"/>
      <c r="K180" s="36"/>
    </row>
    <row r="181" ht="12.75" customHeight="1" spans="10:11">
      <c r="J181" s="36"/>
      <c r="K181" s="36"/>
    </row>
    <row r="182" ht="12.75" customHeight="1" spans="10:11">
      <c r="J182" s="36"/>
      <c r="K182" s="36"/>
    </row>
    <row r="183" ht="12.75" customHeight="1" spans="10:11">
      <c r="J183" s="36"/>
      <c r="K183" s="36"/>
    </row>
    <row r="184" ht="12.75" customHeight="1" spans="10:11">
      <c r="J184" s="36"/>
      <c r="K184" s="36"/>
    </row>
    <row r="185" ht="12.75" customHeight="1" spans="10:11">
      <c r="J185" s="36"/>
      <c r="K185" s="36"/>
    </row>
    <row r="186" ht="12.75" customHeight="1" spans="10:11">
      <c r="J186" s="36"/>
      <c r="K186" s="36"/>
    </row>
    <row r="187" ht="12.75" customHeight="1" spans="10:11">
      <c r="J187" s="36"/>
      <c r="K187" s="36"/>
    </row>
    <row r="188" ht="12.75" customHeight="1" spans="10:11">
      <c r="J188" s="36"/>
      <c r="K188" s="36"/>
    </row>
    <row r="189" ht="12.75" customHeight="1" spans="10:11">
      <c r="J189" s="36"/>
      <c r="K189" s="36"/>
    </row>
    <row r="190" ht="12.75" customHeight="1" spans="10:11">
      <c r="J190" s="36"/>
      <c r="K190" s="36"/>
    </row>
    <row r="191" ht="12.75" customHeight="1" spans="10:11">
      <c r="J191" s="36"/>
      <c r="K191" s="36"/>
    </row>
    <row r="192" ht="12.75" customHeight="1" spans="10:11">
      <c r="J192" s="36"/>
      <c r="K192" s="36"/>
    </row>
    <row r="193" ht="12.75" customHeight="1" spans="10:11">
      <c r="J193" s="36"/>
      <c r="K193" s="36"/>
    </row>
    <row r="194" ht="12.75" customHeight="1" spans="10:11">
      <c r="J194" s="36"/>
      <c r="K194" s="36"/>
    </row>
    <row r="195" ht="12.75" customHeight="1" spans="10:11">
      <c r="J195" s="36"/>
      <c r="K195" s="36"/>
    </row>
    <row r="196" ht="12.75" customHeight="1" spans="10:11">
      <c r="J196" s="36"/>
      <c r="K196" s="36"/>
    </row>
    <row r="197" ht="12.75" customHeight="1" spans="10:11">
      <c r="J197" s="36"/>
      <c r="K197" s="36"/>
    </row>
    <row r="198" ht="12.75" customHeight="1" spans="10:11">
      <c r="J198" s="36"/>
      <c r="K198" s="36"/>
    </row>
    <row r="199" ht="12.75" customHeight="1" spans="10:11">
      <c r="J199" s="36"/>
      <c r="K199" s="36"/>
    </row>
    <row r="200" ht="12.75" customHeight="1" spans="10:11">
      <c r="J200" s="36"/>
      <c r="K200" s="36"/>
    </row>
    <row r="201" ht="12.75" customHeight="1" spans="10:11">
      <c r="J201" s="36"/>
      <c r="K201" s="36"/>
    </row>
    <row r="202" ht="12.75" customHeight="1" spans="10:11">
      <c r="J202" s="36"/>
      <c r="K202" s="36"/>
    </row>
    <row r="203" ht="12.75" customHeight="1" spans="10:11">
      <c r="J203" s="36"/>
      <c r="K203" s="36"/>
    </row>
    <row r="204" ht="12.75" customHeight="1" spans="10:11">
      <c r="J204" s="36"/>
      <c r="K204" s="36"/>
    </row>
    <row r="205" ht="12.75" customHeight="1" spans="10:11">
      <c r="J205" s="36"/>
      <c r="K205" s="36"/>
    </row>
    <row r="206" ht="12.75" customHeight="1" spans="10:11">
      <c r="J206" s="36"/>
      <c r="K206" s="36"/>
    </row>
    <row r="207" ht="12.75" customHeight="1" spans="10:11">
      <c r="J207" s="36"/>
      <c r="K207" s="36"/>
    </row>
    <row r="208" ht="12.75" customHeight="1" spans="10:11">
      <c r="J208" s="36"/>
      <c r="K208" s="36"/>
    </row>
    <row r="209" ht="12.75" customHeight="1" spans="10:11">
      <c r="J209" s="36"/>
      <c r="K209" s="36"/>
    </row>
    <row r="210" ht="12.75" customHeight="1" spans="10:11">
      <c r="J210" s="36"/>
      <c r="K210" s="36"/>
    </row>
    <row r="211" ht="12.75" customHeight="1" spans="10:11">
      <c r="J211" s="36"/>
      <c r="K211" s="36"/>
    </row>
    <row r="212" ht="12.75" customHeight="1" spans="10:11">
      <c r="J212" s="36"/>
      <c r="K212" s="36"/>
    </row>
    <row r="213" ht="12.75" customHeight="1" spans="10:11">
      <c r="J213" s="36"/>
      <c r="K213" s="36"/>
    </row>
    <row r="214" ht="12.75" customHeight="1" spans="10:11">
      <c r="J214" s="36"/>
      <c r="K214" s="36"/>
    </row>
    <row r="215" ht="12.75" customHeight="1" spans="10:11">
      <c r="J215" s="36"/>
      <c r="K215" s="36"/>
    </row>
    <row r="216" ht="12.75" customHeight="1" spans="10:11">
      <c r="J216" s="36"/>
      <c r="K216" s="36"/>
    </row>
    <row r="217" ht="12.75" customHeight="1" spans="10:11">
      <c r="J217" s="36"/>
      <c r="K217" s="36"/>
    </row>
    <row r="218" ht="12.75" customHeight="1" spans="10:11">
      <c r="J218" s="36"/>
      <c r="K218" s="36"/>
    </row>
    <row r="219" ht="12.75" customHeight="1" spans="10:11">
      <c r="J219" s="36"/>
      <c r="K219" s="36"/>
    </row>
    <row r="220" ht="12.75" customHeight="1" spans="10:11">
      <c r="J220" s="36"/>
      <c r="K220" s="36"/>
    </row>
    <row r="221" ht="12.75" customHeight="1" spans="10:11">
      <c r="J221" s="36"/>
      <c r="K221" s="36"/>
    </row>
    <row r="222" ht="12.75" customHeight="1" spans="10:11">
      <c r="J222" s="36"/>
      <c r="K222" s="36"/>
    </row>
    <row r="223" ht="12.75" customHeight="1" spans="10:11">
      <c r="J223" s="36"/>
      <c r="K223" s="36"/>
    </row>
    <row r="224" ht="12.75" customHeight="1" spans="10:11">
      <c r="J224" s="36"/>
      <c r="K224" s="36"/>
    </row>
    <row r="225" ht="12.75" customHeight="1" spans="10:11">
      <c r="J225" s="36"/>
      <c r="K225" s="36"/>
    </row>
    <row r="226" ht="12.75" customHeight="1" spans="10:11">
      <c r="J226" s="36"/>
      <c r="K226" s="36"/>
    </row>
    <row r="227" ht="12.75" customHeight="1" spans="10:11">
      <c r="J227" s="36"/>
      <c r="K227" s="36"/>
    </row>
    <row r="228" ht="12.75" customHeight="1" spans="10:11">
      <c r="J228" s="36"/>
      <c r="K228" s="36"/>
    </row>
    <row r="229" ht="12.75" customHeight="1" spans="10:11">
      <c r="J229" s="36"/>
      <c r="K229" s="36"/>
    </row>
    <row r="230" ht="12.75" customHeight="1" spans="10:11">
      <c r="J230" s="36"/>
      <c r="K230" s="36"/>
    </row>
    <row r="231" ht="12.75" customHeight="1" spans="10:11">
      <c r="J231" s="36"/>
      <c r="K231" s="36"/>
    </row>
    <row r="232" ht="12.75" customHeight="1" spans="10:11">
      <c r="J232" s="36"/>
      <c r="K232" s="36"/>
    </row>
    <row r="233" ht="12.75" customHeight="1" spans="10:11">
      <c r="J233" s="36"/>
      <c r="K233" s="36"/>
    </row>
    <row r="234" ht="12.75" customHeight="1" spans="10:11">
      <c r="J234" s="36"/>
      <c r="K234" s="36"/>
    </row>
    <row r="235" ht="12.75" customHeight="1" spans="10:11">
      <c r="J235" s="36"/>
      <c r="K235" s="36"/>
    </row>
    <row r="236" ht="12.75" customHeight="1" spans="10:11">
      <c r="J236" s="36"/>
      <c r="K236" s="36"/>
    </row>
    <row r="237" ht="12.75" customHeight="1" spans="10:11">
      <c r="J237" s="36"/>
      <c r="K237" s="36"/>
    </row>
    <row r="238" ht="12.75" customHeight="1" spans="10:11">
      <c r="J238" s="36"/>
      <c r="K238" s="36"/>
    </row>
    <row r="239" ht="12.75" customHeight="1" spans="10:11">
      <c r="J239" s="36"/>
      <c r="K239" s="36"/>
    </row>
    <row r="240" ht="12.75" customHeight="1" spans="10:11">
      <c r="J240" s="36"/>
      <c r="K240" s="36"/>
    </row>
    <row r="241" ht="12.75" customHeight="1" spans="10:11">
      <c r="J241" s="36"/>
      <c r="K241" s="36"/>
    </row>
    <row r="242" ht="12.75" customHeight="1" spans="10:11">
      <c r="J242" s="36"/>
      <c r="K242" s="36"/>
    </row>
    <row r="243" ht="12.75" customHeight="1" spans="10:11">
      <c r="J243" s="36"/>
      <c r="K243" s="36"/>
    </row>
    <row r="244" ht="12.75" customHeight="1" spans="10:11">
      <c r="J244" s="36"/>
      <c r="K244" s="36"/>
    </row>
    <row r="245" ht="12.75" customHeight="1" spans="10:11">
      <c r="J245" s="36"/>
      <c r="K245" s="36"/>
    </row>
    <row r="246" ht="12.75" customHeight="1" spans="10:11">
      <c r="J246" s="36"/>
      <c r="K246" s="36"/>
    </row>
    <row r="247" ht="12.75" customHeight="1" spans="10:11">
      <c r="J247" s="36"/>
      <c r="K247" s="36"/>
    </row>
    <row r="248" ht="12.75" customHeight="1" spans="10:11">
      <c r="J248" s="36"/>
      <c r="K248" s="36"/>
    </row>
    <row r="249" ht="12.75" customHeight="1" spans="10:11">
      <c r="J249" s="36"/>
      <c r="K249" s="36"/>
    </row>
    <row r="250" ht="12.75" customHeight="1" spans="10:11">
      <c r="J250" s="36"/>
      <c r="K250" s="36"/>
    </row>
    <row r="251" ht="12.75" customHeight="1" spans="10:11">
      <c r="J251" s="36"/>
      <c r="K251" s="36"/>
    </row>
    <row r="252" ht="12.75" customHeight="1" spans="10:11">
      <c r="J252" s="36"/>
      <c r="K252" s="36"/>
    </row>
    <row r="253" ht="12.75" customHeight="1" spans="10:11">
      <c r="J253" s="36"/>
      <c r="K253" s="36"/>
    </row>
    <row r="254" ht="12.75" customHeight="1" spans="10:11">
      <c r="J254" s="36"/>
      <c r="K254" s="36"/>
    </row>
    <row r="255" ht="12.75" customHeight="1" spans="10:11">
      <c r="J255" s="36"/>
      <c r="K255" s="36"/>
    </row>
    <row r="256" ht="12.75" customHeight="1" spans="10:11">
      <c r="J256" s="36"/>
      <c r="K256" s="36"/>
    </row>
    <row r="257" ht="12.75" customHeight="1" spans="10:11">
      <c r="J257" s="36"/>
      <c r="K257" s="36"/>
    </row>
    <row r="258" ht="12.75" customHeight="1" spans="10:11">
      <c r="J258" s="36"/>
      <c r="K258" s="36"/>
    </row>
    <row r="259" ht="12.75" customHeight="1" spans="10:11">
      <c r="J259" s="36"/>
      <c r="K259" s="36"/>
    </row>
    <row r="260" ht="12.75" customHeight="1" spans="10:11">
      <c r="J260" s="36"/>
      <c r="K260" s="36"/>
    </row>
    <row r="261" ht="12.75" customHeight="1" spans="10:11">
      <c r="J261" s="36"/>
      <c r="K261" s="36"/>
    </row>
    <row r="262" ht="12.75" customHeight="1" spans="10:11">
      <c r="J262" s="36"/>
      <c r="K262" s="36"/>
    </row>
    <row r="263" ht="12.75" customHeight="1" spans="10:11">
      <c r="J263" s="36"/>
      <c r="K263" s="36"/>
    </row>
    <row r="264" ht="12.75" customHeight="1" spans="10:11">
      <c r="J264" s="36"/>
      <c r="K264" s="36"/>
    </row>
    <row r="265" ht="12.75" customHeight="1" spans="10:11">
      <c r="J265" s="36"/>
      <c r="K265" s="36"/>
    </row>
    <row r="266" ht="12.75" customHeight="1" spans="10:11">
      <c r="J266" s="36"/>
      <c r="K266" s="36"/>
    </row>
    <row r="267" ht="12.75" customHeight="1" spans="10:11">
      <c r="J267" s="36"/>
      <c r="K267" s="36"/>
    </row>
    <row r="268" ht="12.75" customHeight="1" spans="10:11">
      <c r="J268" s="36"/>
      <c r="K268" s="36"/>
    </row>
    <row r="269" ht="12.75" customHeight="1" spans="10:11">
      <c r="J269" s="36"/>
      <c r="K269" s="36"/>
    </row>
    <row r="270" ht="12.75" customHeight="1" spans="10:11">
      <c r="J270" s="36"/>
      <c r="K270" s="36"/>
    </row>
    <row r="271" ht="12.75" customHeight="1" spans="10:11">
      <c r="J271" s="36"/>
      <c r="K271" s="36"/>
    </row>
    <row r="272" ht="12.75" customHeight="1" spans="10:11">
      <c r="J272" s="36"/>
      <c r="K272" s="36"/>
    </row>
    <row r="273" ht="12.75" customHeight="1" spans="10:11">
      <c r="J273" s="36"/>
      <c r="K273" s="36"/>
    </row>
    <row r="274" ht="12.75" customHeight="1" spans="10:11">
      <c r="J274" s="36"/>
      <c r="K274" s="36"/>
    </row>
    <row r="275" ht="12.75" customHeight="1" spans="10:11">
      <c r="J275" s="36"/>
      <c r="K275" s="36"/>
    </row>
    <row r="276" ht="12.75" customHeight="1" spans="10:11">
      <c r="J276" s="36"/>
      <c r="K276" s="36"/>
    </row>
    <row r="277" ht="12.75" customHeight="1" spans="10:11">
      <c r="J277" s="36"/>
      <c r="K277" s="36"/>
    </row>
    <row r="278" ht="12.75" customHeight="1" spans="10:11">
      <c r="J278" s="36"/>
      <c r="K278" s="36"/>
    </row>
    <row r="279" ht="12.75" customHeight="1" spans="10:11">
      <c r="J279" s="36"/>
      <c r="K279" s="36"/>
    </row>
    <row r="280" ht="12.75" customHeight="1" spans="10:11">
      <c r="J280" s="36"/>
      <c r="K280" s="36"/>
    </row>
    <row r="281" ht="12.75" customHeight="1" spans="10:11">
      <c r="J281" s="36"/>
      <c r="K281" s="36"/>
    </row>
    <row r="282" ht="12.75" customHeight="1" spans="10:11">
      <c r="J282" s="36"/>
      <c r="K282" s="36"/>
    </row>
    <row r="283" ht="12.75" customHeight="1" spans="10:11">
      <c r="J283" s="36"/>
      <c r="K283" s="36"/>
    </row>
    <row r="284" ht="12.75" customHeight="1" spans="10:11">
      <c r="J284" s="36"/>
      <c r="K284" s="36"/>
    </row>
    <row r="285" ht="12.75" customHeight="1" spans="10:11">
      <c r="J285" s="36"/>
      <c r="K285" s="36"/>
    </row>
    <row r="286" ht="12.75" customHeight="1" spans="10:11">
      <c r="J286" s="36"/>
      <c r="K286" s="36"/>
    </row>
    <row r="287" ht="12.75" customHeight="1" spans="10:11">
      <c r="J287" s="36"/>
      <c r="K287" s="36"/>
    </row>
    <row r="288" ht="12.75" customHeight="1" spans="10:11">
      <c r="J288" s="36"/>
      <c r="K288" s="36"/>
    </row>
    <row r="289" ht="12.75" customHeight="1" spans="10:11">
      <c r="J289" s="36"/>
      <c r="K289" s="36"/>
    </row>
    <row r="290" ht="12.75" customHeight="1" spans="10:11">
      <c r="J290" s="36"/>
      <c r="K290" s="36"/>
    </row>
    <row r="291" ht="12.75" customHeight="1" spans="10:11">
      <c r="J291" s="36"/>
      <c r="K291" s="36"/>
    </row>
    <row r="292" ht="12.75" customHeight="1" spans="10:11">
      <c r="J292" s="36"/>
      <c r="K292" s="36"/>
    </row>
    <row r="293" ht="12.75" customHeight="1" spans="10:11">
      <c r="J293" s="36"/>
      <c r="K293" s="36"/>
    </row>
    <row r="294" ht="12.75" customHeight="1" spans="10:11">
      <c r="J294" s="36"/>
      <c r="K294" s="36"/>
    </row>
    <row r="295" ht="12.75" customHeight="1" spans="10:11">
      <c r="J295" s="36"/>
      <c r="K295" s="36"/>
    </row>
    <row r="296" ht="12.75" customHeight="1" spans="10:11">
      <c r="J296" s="36"/>
      <c r="K296" s="36"/>
    </row>
    <row r="297" ht="12.75" customHeight="1" spans="10:11">
      <c r="J297" s="36"/>
      <c r="K297" s="36"/>
    </row>
    <row r="298" ht="12.75" customHeight="1" spans="10:11">
      <c r="J298" s="36"/>
      <c r="K298" s="36"/>
    </row>
    <row r="299" ht="12.75" customHeight="1" spans="10:11">
      <c r="J299" s="36"/>
      <c r="K299" s="36"/>
    </row>
    <row r="300" ht="12.75" customHeight="1" spans="10:11">
      <c r="J300" s="36"/>
      <c r="K300" s="36"/>
    </row>
    <row r="301" ht="12.75" customHeight="1" spans="10:11">
      <c r="J301" s="36"/>
      <c r="K301" s="36"/>
    </row>
    <row r="302" ht="12.75" customHeight="1" spans="10:11">
      <c r="J302" s="36"/>
      <c r="K302" s="36"/>
    </row>
    <row r="303" ht="12.75" customHeight="1" spans="10:11">
      <c r="J303" s="36"/>
      <c r="K303" s="36"/>
    </row>
    <row r="304" ht="12.75" customHeight="1" spans="10:11">
      <c r="J304" s="36"/>
      <c r="K304" s="36"/>
    </row>
    <row r="305" ht="12.75" customHeight="1" spans="10:11">
      <c r="J305" s="36"/>
      <c r="K305" s="36"/>
    </row>
    <row r="306" ht="12.75" customHeight="1" spans="10:11">
      <c r="J306" s="36"/>
      <c r="K306" s="36"/>
    </row>
    <row r="307" ht="12.75" customHeight="1" spans="10:11">
      <c r="J307" s="36"/>
      <c r="K307" s="36"/>
    </row>
    <row r="308" ht="12.75" customHeight="1" spans="10:11">
      <c r="J308" s="36"/>
      <c r="K308" s="36"/>
    </row>
    <row r="309" ht="12.75" customHeight="1" spans="10:11">
      <c r="J309" s="36"/>
      <c r="K309" s="36"/>
    </row>
    <row r="310" ht="12.75" customHeight="1" spans="10:11">
      <c r="J310" s="36"/>
      <c r="K310" s="36"/>
    </row>
    <row r="311" ht="12.75" customHeight="1" spans="10:11">
      <c r="J311" s="36"/>
      <c r="K311" s="36"/>
    </row>
    <row r="312" ht="12.75" customHeight="1" spans="10:11">
      <c r="J312" s="36"/>
      <c r="K312" s="36"/>
    </row>
    <row r="313" ht="12.75" customHeight="1" spans="10:11">
      <c r="J313" s="36"/>
      <c r="K313" s="36"/>
    </row>
    <row r="314" ht="12.75" customHeight="1" spans="10:11">
      <c r="J314" s="36"/>
      <c r="K314" s="36"/>
    </row>
    <row r="315" ht="12.75" customHeight="1" spans="10:11">
      <c r="J315" s="36"/>
      <c r="K315" s="36"/>
    </row>
    <row r="316" ht="12.75" customHeight="1" spans="10:11">
      <c r="J316" s="36"/>
      <c r="K316" s="36"/>
    </row>
    <row r="317" ht="12.75" customHeight="1" spans="10:11">
      <c r="J317" s="36"/>
      <c r="K317" s="36"/>
    </row>
    <row r="318" ht="12.75" customHeight="1" spans="10:11">
      <c r="J318" s="36"/>
      <c r="K318" s="36"/>
    </row>
    <row r="319" ht="12.75" customHeight="1" spans="10:11">
      <c r="J319" s="36"/>
      <c r="K319" s="36"/>
    </row>
    <row r="320" ht="12.75" customHeight="1" spans="10:11">
      <c r="J320" s="36"/>
      <c r="K320" s="36"/>
    </row>
    <row r="321" ht="12.75" customHeight="1" spans="10:11">
      <c r="J321" s="36"/>
      <c r="K321" s="36"/>
    </row>
    <row r="322" ht="12.75" customHeight="1" spans="10:11">
      <c r="J322" s="36"/>
      <c r="K322" s="36"/>
    </row>
    <row r="323" ht="12.75" customHeight="1" spans="10:11">
      <c r="J323" s="36"/>
      <c r="K323" s="36"/>
    </row>
    <row r="324" ht="12.75" customHeight="1" spans="10:11">
      <c r="J324" s="36"/>
      <c r="K324" s="36"/>
    </row>
    <row r="325" ht="12.75" customHeight="1" spans="10:11">
      <c r="J325" s="36"/>
      <c r="K325" s="36"/>
    </row>
    <row r="326" ht="12.75" customHeight="1" spans="10:11">
      <c r="J326" s="36"/>
      <c r="K326" s="36"/>
    </row>
    <row r="327" ht="12.75" customHeight="1" spans="10:11">
      <c r="J327" s="36"/>
      <c r="K327" s="36"/>
    </row>
    <row r="328" ht="12.75" customHeight="1" spans="10:11">
      <c r="J328" s="36"/>
      <c r="K328" s="36"/>
    </row>
    <row r="329" ht="12.75" customHeight="1" spans="10:11">
      <c r="J329" s="36"/>
      <c r="K329" s="36"/>
    </row>
    <row r="330" ht="12.75" customHeight="1" spans="10:11">
      <c r="J330" s="36"/>
      <c r="K330" s="36"/>
    </row>
    <row r="331" ht="12.75" customHeight="1" spans="10:11">
      <c r="J331" s="36"/>
      <c r="K331" s="36"/>
    </row>
    <row r="332" ht="12.75" customHeight="1" spans="10:11">
      <c r="J332" s="36"/>
      <c r="K332" s="36"/>
    </row>
    <row r="333" ht="12.75" customHeight="1" spans="10:11">
      <c r="J333" s="36"/>
      <c r="K333" s="36"/>
    </row>
    <row r="334" ht="12.75" customHeight="1" spans="10:11">
      <c r="J334" s="36"/>
      <c r="K334" s="36"/>
    </row>
    <row r="335" ht="12.75" customHeight="1" spans="10:11">
      <c r="J335" s="36"/>
      <c r="K335" s="36"/>
    </row>
    <row r="336" ht="12.75" customHeight="1" spans="10:11">
      <c r="J336" s="36"/>
      <c r="K336" s="36"/>
    </row>
    <row r="337" ht="12.75" customHeight="1" spans="10:11">
      <c r="J337" s="36"/>
      <c r="K337" s="36"/>
    </row>
    <row r="338" ht="12.75" customHeight="1" spans="10:11">
      <c r="J338" s="36"/>
      <c r="K338" s="36"/>
    </row>
    <row r="339" ht="12.75" customHeight="1" spans="10:11">
      <c r="J339" s="36"/>
      <c r="K339" s="36"/>
    </row>
    <row r="340" ht="12.75" customHeight="1" spans="10:11">
      <c r="J340" s="36"/>
      <c r="K340" s="36"/>
    </row>
    <row r="341" ht="12.75" customHeight="1" spans="10:11">
      <c r="J341" s="36"/>
      <c r="K341" s="36"/>
    </row>
    <row r="342" ht="12.75" customHeight="1" spans="10:11">
      <c r="J342" s="36"/>
      <c r="K342" s="36"/>
    </row>
    <row r="343" ht="12.75" customHeight="1" spans="10:11">
      <c r="J343" s="36"/>
      <c r="K343" s="36"/>
    </row>
    <row r="344" ht="12.75" customHeight="1" spans="10:11">
      <c r="J344" s="36"/>
      <c r="K344" s="36"/>
    </row>
    <row r="345" ht="12.75" customHeight="1" spans="10:11">
      <c r="J345" s="36"/>
      <c r="K345" s="36"/>
    </row>
    <row r="346" ht="12.75" customHeight="1" spans="10:11">
      <c r="J346" s="36"/>
      <c r="K346" s="36"/>
    </row>
    <row r="347" ht="12.75" customHeight="1" spans="10:11">
      <c r="J347" s="36"/>
      <c r="K347" s="36"/>
    </row>
    <row r="348" ht="12.75" customHeight="1" spans="10:11">
      <c r="J348" s="36"/>
      <c r="K348" s="36"/>
    </row>
    <row r="349" ht="12.75" customHeight="1" spans="10:11">
      <c r="J349" s="36"/>
      <c r="K349" s="36"/>
    </row>
    <row r="350" ht="12.75" customHeight="1" spans="10:11">
      <c r="J350" s="36"/>
      <c r="K350" s="36"/>
    </row>
    <row r="351" ht="12.75" customHeight="1" spans="10:11">
      <c r="J351" s="36"/>
      <c r="K351" s="36"/>
    </row>
    <row r="352" ht="12.75" customHeight="1" spans="10:11">
      <c r="J352" s="36"/>
      <c r="K352" s="36"/>
    </row>
    <row r="353" ht="12.75" customHeight="1" spans="10:11">
      <c r="J353" s="36"/>
      <c r="K353" s="36"/>
    </row>
    <row r="354" ht="12.75" customHeight="1" spans="10:11">
      <c r="J354" s="36"/>
      <c r="K354" s="36"/>
    </row>
    <row r="355" ht="12.75" customHeight="1" spans="10:11">
      <c r="J355" s="36"/>
      <c r="K355" s="36"/>
    </row>
    <row r="356" ht="12.75" customHeight="1" spans="10:11">
      <c r="J356" s="36"/>
      <c r="K356" s="36"/>
    </row>
    <row r="357" ht="12.75" customHeight="1" spans="10:11">
      <c r="J357" s="36"/>
      <c r="K357" s="36"/>
    </row>
    <row r="358" ht="12.75" customHeight="1" spans="10:11">
      <c r="J358" s="36"/>
      <c r="K358" s="36"/>
    </row>
    <row r="359" ht="12.75" customHeight="1" spans="10:11">
      <c r="J359" s="36"/>
      <c r="K359" s="36"/>
    </row>
    <row r="360" ht="12.75" customHeight="1" spans="10:11">
      <c r="J360" s="36"/>
      <c r="K360" s="36"/>
    </row>
    <row r="361" ht="12.75" customHeight="1" spans="10:11">
      <c r="J361" s="36"/>
      <c r="K361" s="36"/>
    </row>
    <row r="362" ht="12.75" customHeight="1" spans="10:11">
      <c r="J362" s="36"/>
      <c r="K362" s="36"/>
    </row>
    <row r="363" ht="12.75" customHeight="1" spans="10:11">
      <c r="J363" s="36"/>
      <c r="K363" s="36"/>
    </row>
    <row r="364" ht="12.75" customHeight="1" spans="10:11">
      <c r="J364" s="36"/>
      <c r="K364" s="36"/>
    </row>
    <row r="365" ht="12.75" customHeight="1" spans="10:11">
      <c r="J365" s="36"/>
      <c r="K365" s="36"/>
    </row>
    <row r="366" ht="12.75" customHeight="1" spans="10:11">
      <c r="J366" s="36"/>
      <c r="K366" s="36"/>
    </row>
    <row r="367" ht="12.75" customHeight="1" spans="10:11">
      <c r="J367" s="36"/>
      <c r="K367" s="36"/>
    </row>
    <row r="368" ht="12.75" customHeight="1" spans="10:11">
      <c r="J368" s="36"/>
      <c r="K368" s="36"/>
    </row>
    <row r="369" ht="12.75" customHeight="1" spans="10:11">
      <c r="J369" s="36"/>
      <c r="K369" s="36"/>
    </row>
    <row r="370" ht="12.75" customHeight="1" spans="10:11">
      <c r="J370" s="36"/>
      <c r="K370" s="36"/>
    </row>
    <row r="371" ht="12.75" customHeight="1" spans="10:11">
      <c r="J371" s="36"/>
      <c r="K371" s="36"/>
    </row>
    <row r="372" ht="12.75" customHeight="1" spans="10:11">
      <c r="J372" s="36"/>
      <c r="K372" s="36"/>
    </row>
    <row r="373" ht="12.75" customHeight="1" spans="10:11">
      <c r="J373" s="36"/>
      <c r="K373" s="36"/>
    </row>
    <row r="374" ht="12.75" customHeight="1" spans="10:11">
      <c r="J374" s="36"/>
      <c r="K374" s="36"/>
    </row>
    <row r="375" ht="12.75" customHeight="1" spans="10:11">
      <c r="J375" s="36"/>
      <c r="K375" s="36"/>
    </row>
    <row r="376" ht="12.75" customHeight="1" spans="10:11">
      <c r="J376" s="36"/>
      <c r="K376" s="36"/>
    </row>
    <row r="377" ht="12.75" customHeight="1" spans="10:11">
      <c r="J377" s="36"/>
      <c r="K377" s="36"/>
    </row>
    <row r="378" ht="12.75" customHeight="1" spans="10:11">
      <c r="J378" s="36"/>
      <c r="K378" s="36"/>
    </row>
    <row r="379" ht="12.75" customHeight="1" spans="10:11">
      <c r="J379" s="36"/>
      <c r="K379" s="36"/>
    </row>
    <row r="380" ht="12.75" customHeight="1" spans="10:11">
      <c r="J380" s="36"/>
      <c r="K380" s="36"/>
    </row>
    <row r="381" ht="12.75" customHeight="1" spans="10:11">
      <c r="J381" s="36"/>
      <c r="K381" s="36"/>
    </row>
    <row r="382" ht="12.75" customHeight="1" spans="10:11">
      <c r="J382" s="36"/>
      <c r="K382" s="36"/>
    </row>
    <row r="383" ht="12.75" customHeight="1" spans="10:11">
      <c r="J383" s="36"/>
      <c r="K383" s="36"/>
    </row>
    <row r="384" ht="12.75" customHeight="1" spans="10:11">
      <c r="J384" s="36"/>
      <c r="K384" s="36"/>
    </row>
    <row r="385" ht="12.75" customHeight="1" spans="10:11">
      <c r="J385" s="36"/>
      <c r="K385" s="36"/>
    </row>
    <row r="386" ht="12.75" customHeight="1" spans="10:11">
      <c r="J386" s="36"/>
      <c r="K386" s="36"/>
    </row>
    <row r="387" ht="12.75" customHeight="1" spans="10:11">
      <c r="J387" s="36"/>
      <c r="K387" s="36"/>
    </row>
    <row r="388" ht="12.75" customHeight="1" spans="10:11">
      <c r="J388" s="36"/>
      <c r="K388" s="36"/>
    </row>
    <row r="389" ht="12.75" customHeight="1" spans="10:11">
      <c r="J389" s="36"/>
      <c r="K389" s="36"/>
    </row>
    <row r="390" ht="12.75" customHeight="1" spans="10:11">
      <c r="J390" s="36"/>
      <c r="K390" s="36"/>
    </row>
    <row r="391" ht="12.75" customHeight="1" spans="10:11">
      <c r="J391" s="36"/>
      <c r="K391" s="36"/>
    </row>
    <row r="392" ht="12.75" customHeight="1" spans="10:11">
      <c r="J392" s="36"/>
      <c r="K392" s="36"/>
    </row>
    <row r="393" ht="12.75" customHeight="1" spans="10:11">
      <c r="J393" s="36"/>
      <c r="K393" s="36"/>
    </row>
    <row r="394" ht="12.75" customHeight="1" spans="10:11">
      <c r="J394" s="36"/>
      <c r="K394" s="36"/>
    </row>
    <row r="395" ht="12.75" customHeight="1" spans="10:11">
      <c r="J395" s="36"/>
      <c r="K395" s="36"/>
    </row>
    <row r="396" ht="12.75" customHeight="1" spans="10:11">
      <c r="J396" s="36"/>
      <c r="K396" s="36"/>
    </row>
    <row r="397" ht="12.75" customHeight="1" spans="10:11">
      <c r="J397" s="36"/>
      <c r="K397" s="36"/>
    </row>
    <row r="398" ht="12.75" customHeight="1" spans="10:11">
      <c r="J398" s="36"/>
      <c r="K398" s="36"/>
    </row>
    <row r="399" ht="12.75" customHeight="1" spans="10:11">
      <c r="J399" s="36"/>
      <c r="K399" s="36"/>
    </row>
    <row r="400" ht="12.75" customHeight="1" spans="10:11">
      <c r="J400" s="36"/>
      <c r="K400" s="36"/>
    </row>
    <row r="401" ht="12.75" customHeight="1" spans="10:11">
      <c r="J401" s="36"/>
      <c r="K401" s="36"/>
    </row>
    <row r="402" ht="12.75" customHeight="1" spans="10:11">
      <c r="J402" s="36"/>
      <c r="K402" s="36"/>
    </row>
    <row r="403" ht="12.75" customHeight="1" spans="10:11">
      <c r="J403" s="36"/>
      <c r="K403" s="36"/>
    </row>
    <row r="404" ht="12.75" customHeight="1" spans="10:11">
      <c r="J404" s="36"/>
      <c r="K404" s="36"/>
    </row>
    <row r="405" ht="12.75" customHeight="1" spans="10:11">
      <c r="J405" s="36"/>
      <c r="K405" s="36"/>
    </row>
    <row r="406" ht="12.75" customHeight="1" spans="10:11">
      <c r="J406" s="36"/>
      <c r="K406" s="36"/>
    </row>
    <row r="407" ht="12.75" customHeight="1" spans="10:11">
      <c r="J407" s="36"/>
      <c r="K407" s="36"/>
    </row>
    <row r="408" ht="12.75" customHeight="1" spans="10:11">
      <c r="J408" s="36"/>
      <c r="K408" s="36"/>
    </row>
    <row r="409" ht="12.75" customHeight="1" spans="10:11">
      <c r="J409" s="36"/>
      <c r="K409" s="36"/>
    </row>
    <row r="410" ht="12.75" customHeight="1" spans="10:11">
      <c r="J410" s="36"/>
      <c r="K410" s="36"/>
    </row>
    <row r="411" ht="12.75" customHeight="1" spans="10:11">
      <c r="J411" s="36"/>
      <c r="K411" s="36"/>
    </row>
    <row r="412" ht="12.75" customHeight="1" spans="10:11">
      <c r="J412" s="36"/>
      <c r="K412" s="36"/>
    </row>
    <row r="413" ht="12.75" customHeight="1" spans="10:11">
      <c r="J413" s="36"/>
      <c r="K413" s="36"/>
    </row>
    <row r="414" ht="12.75" customHeight="1" spans="10:11">
      <c r="J414" s="36"/>
      <c r="K414" s="36"/>
    </row>
    <row r="415" ht="12.75" customHeight="1" spans="10:11">
      <c r="J415" s="36"/>
      <c r="K415" s="36"/>
    </row>
    <row r="416" ht="12.75" customHeight="1" spans="10:11">
      <c r="J416" s="36"/>
      <c r="K416" s="36"/>
    </row>
    <row r="417" ht="12.75" customHeight="1" spans="10:11">
      <c r="J417" s="36"/>
      <c r="K417" s="36"/>
    </row>
    <row r="418" ht="12.75" customHeight="1" spans="10:11">
      <c r="J418" s="36"/>
      <c r="K418" s="36"/>
    </row>
    <row r="419" ht="12.75" customHeight="1" spans="10:11">
      <c r="J419" s="36"/>
      <c r="K419" s="36"/>
    </row>
    <row r="420" ht="12.75" customHeight="1" spans="10:11">
      <c r="J420" s="36"/>
      <c r="K420" s="36"/>
    </row>
    <row r="421" ht="12.75" customHeight="1" spans="10:11">
      <c r="J421" s="36"/>
      <c r="K421" s="36"/>
    </row>
    <row r="422" ht="12.75" customHeight="1" spans="10:11">
      <c r="J422" s="36"/>
      <c r="K422" s="36"/>
    </row>
    <row r="423" ht="12.75" customHeight="1" spans="10:11">
      <c r="J423" s="36"/>
      <c r="K423" s="36"/>
    </row>
    <row r="424" ht="12.75" customHeight="1" spans="10:11">
      <c r="J424" s="36"/>
      <c r="K424" s="36"/>
    </row>
    <row r="425" ht="12.75" customHeight="1" spans="10:11">
      <c r="J425" s="36"/>
      <c r="K425" s="36"/>
    </row>
    <row r="426" ht="12.75" customHeight="1" spans="10:11">
      <c r="J426" s="36"/>
      <c r="K426" s="36"/>
    </row>
    <row r="427" ht="12.75" customHeight="1" spans="10:11">
      <c r="J427" s="36"/>
      <c r="K427" s="36"/>
    </row>
    <row r="428" ht="12.75" customHeight="1" spans="10:11">
      <c r="J428" s="36"/>
      <c r="K428" s="36"/>
    </row>
    <row r="429" ht="12.75" customHeight="1" spans="10:11">
      <c r="J429" s="36"/>
      <c r="K429" s="36"/>
    </row>
    <row r="430" ht="12.75" customHeight="1" spans="10:11">
      <c r="J430" s="36"/>
      <c r="K430" s="36"/>
    </row>
    <row r="431" ht="12.75" customHeight="1" spans="10:11">
      <c r="J431" s="36"/>
      <c r="K431" s="36"/>
    </row>
    <row r="432" ht="12.75" customHeight="1" spans="10:11">
      <c r="J432" s="36"/>
      <c r="K432" s="36"/>
    </row>
    <row r="433" ht="12.75" customHeight="1" spans="10:11">
      <c r="J433" s="36"/>
      <c r="K433" s="36"/>
    </row>
    <row r="434" ht="12.75" customHeight="1" spans="10:11">
      <c r="J434" s="36"/>
      <c r="K434" s="36"/>
    </row>
    <row r="435" ht="12.75" customHeight="1" spans="10:11">
      <c r="J435" s="36"/>
      <c r="K435" s="36"/>
    </row>
    <row r="436" ht="12.75" customHeight="1" spans="10:11">
      <c r="J436" s="36"/>
      <c r="K436" s="36"/>
    </row>
    <row r="437" ht="12.75" customHeight="1" spans="10:11">
      <c r="J437" s="36"/>
      <c r="K437" s="36"/>
    </row>
    <row r="438" ht="12.75" customHeight="1" spans="10:11">
      <c r="J438" s="36"/>
      <c r="K438" s="36"/>
    </row>
    <row r="439" ht="12.75" customHeight="1" spans="10:11">
      <c r="J439" s="36"/>
      <c r="K439" s="36"/>
    </row>
    <row r="440" ht="12.75" customHeight="1" spans="10:11">
      <c r="J440" s="36"/>
      <c r="K440" s="36"/>
    </row>
    <row r="441" ht="12.75" customHeight="1" spans="10:11">
      <c r="J441" s="36"/>
      <c r="K441" s="36"/>
    </row>
    <row r="442" ht="12.75" customHeight="1" spans="10:11">
      <c r="J442" s="36"/>
      <c r="K442" s="36"/>
    </row>
    <row r="443" ht="12.75" customHeight="1" spans="10:11">
      <c r="J443" s="36"/>
      <c r="K443" s="36"/>
    </row>
    <row r="444" ht="12.75" customHeight="1" spans="10:11">
      <c r="J444" s="36"/>
      <c r="K444" s="36"/>
    </row>
    <row r="445" ht="12.75" customHeight="1" spans="10:11">
      <c r="J445" s="36"/>
      <c r="K445" s="36"/>
    </row>
    <row r="446" ht="12.75" customHeight="1" spans="10:11">
      <c r="J446" s="36"/>
      <c r="K446" s="36"/>
    </row>
    <row r="447" ht="12.75" customHeight="1" spans="10:11">
      <c r="J447" s="36"/>
      <c r="K447" s="36"/>
    </row>
    <row r="448" ht="12.75" customHeight="1" spans="10:11">
      <c r="J448" s="36"/>
      <c r="K448" s="36"/>
    </row>
    <row r="449" ht="12.75" customHeight="1" spans="10:11">
      <c r="J449" s="36"/>
      <c r="K449" s="36"/>
    </row>
    <row r="450" ht="12.75" customHeight="1" spans="10:11">
      <c r="J450" s="36"/>
      <c r="K450" s="36"/>
    </row>
    <row r="451" ht="12.75" customHeight="1" spans="10:11">
      <c r="J451" s="36"/>
      <c r="K451" s="36"/>
    </row>
    <row r="452" ht="12.75" customHeight="1" spans="10:11">
      <c r="J452" s="36"/>
      <c r="K452" s="36"/>
    </row>
    <row r="453" ht="12.75" customHeight="1" spans="10:11">
      <c r="J453" s="36"/>
      <c r="K453" s="36"/>
    </row>
    <row r="454" ht="12.75" customHeight="1" spans="10:11">
      <c r="J454" s="36"/>
      <c r="K454" s="36"/>
    </row>
    <row r="455" ht="12.75" customHeight="1" spans="10:11">
      <c r="J455" s="36"/>
      <c r="K455" s="36"/>
    </row>
    <row r="456" ht="12.75" customHeight="1" spans="10:11">
      <c r="J456" s="36"/>
      <c r="K456" s="36"/>
    </row>
    <row r="457" ht="12.75" customHeight="1" spans="10:11">
      <c r="J457" s="36"/>
      <c r="K457" s="36"/>
    </row>
    <row r="458" ht="12.75" customHeight="1" spans="10:11">
      <c r="J458" s="36"/>
      <c r="K458" s="36"/>
    </row>
    <row r="459" ht="12.75" customHeight="1" spans="10:11">
      <c r="J459" s="36"/>
      <c r="K459" s="36"/>
    </row>
    <row r="460" ht="12.75" customHeight="1" spans="10:11">
      <c r="J460" s="36"/>
      <c r="K460" s="36"/>
    </row>
    <row r="461" ht="12.75" customHeight="1" spans="10:11">
      <c r="J461" s="36"/>
      <c r="K461" s="36"/>
    </row>
    <row r="462" ht="12.75" customHeight="1" spans="10:11">
      <c r="J462" s="36"/>
      <c r="K462" s="36"/>
    </row>
    <row r="463" ht="12.75" customHeight="1" spans="10:11">
      <c r="J463" s="36"/>
      <c r="K463" s="36"/>
    </row>
    <row r="464" ht="12.75" customHeight="1" spans="10:11">
      <c r="J464" s="36"/>
      <c r="K464" s="36"/>
    </row>
    <row r="465" ht="12.75" customHeight="1" spans="10:11">
      <c r="J465" s="36"/>
      <c r="K465" s="36"/>
    </row>
    <row r="466" ht="12.75" customHeight="1" spans="10:11">
      <c r="J466" s="36"/>
      <c r="K466" s="36"/>
    </row>
    <row r="467" ht="12.75" customHeight="1" spans="10:11">
      <c r="J467" s="36"/>
      <c r="K467" s="36"/>
    </row>
    <row r="468" ht="12.75" customHeight="1" spans="10:11">
      <c r="J468" s="36"/>
      <c r="K468" s="36"/>
    </row>
    <row r="469" ht="12.75" customHeight="1" spans="10:11">
      <c r="J469" s="36"/>
      <c r="K469" s="36"/>
    </row>
    <row r="470" ht="12.75" customHeight="1" spans="10:11">
      <c r="J470" s="36"/>
      <c r="K470" s="36"/>
    </row>
    <row r="471" ht="12.75" customHeight="1" spans="10:11">
      <c r="J471" s="36"/>
      <c r="K471" s="36"/>
    </row>
    <row r="472" ht="12.75" customHeight="1" spans="10:11">
      <c r="J472" s="36"/>
      <c r="K472" s="36"/>
    </row>
    <row r="473" ht="12.75" customHeight="1" spans="10:11">
      <c r="J473" s="36"/>
      <c r="K473" s="36"/>
    </row>
    <row r="474" ht="12.75" customHeight="1" spans="10:11">
      <c r="J474" s="36"/>
      <c r="K474" s="36"/>
    </row>
    <row r="475" ht="12.75" customHeight="1" spans="10:11">
      <c r="J475" s="36"/>
      <c r="K475" s="36"/>
    </row>
    <row r="476" ht="12.75" customHeight="1" spans="10:11">
      <c r="J476" s="36"/>
      <c r="K476" s="36"/>
    </row>
    <row r="477" ht="12.75" customHeight="1" spans="10:11">
      <c r="J477" s="36"/>
      <c r="K477" s="36"/>
    </row>
    <row r="478" ht="12.75" customHeight="1" spans="10:11">
      <c r="J478" s="36"/>
      <c r="K478" s="36"/>
    </row>
    <row r="479" ht="12.75" customHeight="1" spans="10:11">
      <c r="J479" s="36"/>
      <c r="K479" s="36"/>
    </row>
    <row r="480" ht="12.75" customHeight="1" spans="10:11">
      <c r="J480" s="36"/>
      <c r="K480" s="36"/>
    </row>
    <row r="481" ht="12.75" customHeight="1" spans="10:11">
      <c r="J481" s="36"/>
      <c r="K481" s="36"/>
    </row>
    <row r="482" ht="12.75" customHeight="1" spans="10:11">
      <c r="J482" s="36"/>
      <c r="K482" s="36"/>
    </row>
    <row r="483" ht="12.75" customHeight="1" spans="10:11">
      <c r="J483" s="36"/>
      <c r="K483" s="36"/>
    </row>
    <row r="484" ht="12.75" customHeight="1" spans="10:11">
      <c r="J484" s="36"/>
      <c r="K484" s="36"/>
    </row>
  </sheetData>
  <printOptions horizontalCentered="1" verticalCentered="1"/>
  <pageMargins left="0" right="0" top="0" bottom="0" header="0" footer="0"/>
  <pageSetup paperSize="9" orientation="portrait" horizontalDpi="180" verticalDpi="18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53"/>
  <sheetViews>
    <sheetView zoomScaleSheetLayoutView="60" workbookViewId="0">
      <selection activeCell="A1" sqref="A1:F48"/>
    </sheetView>
  </sheetViews>
  <sheetFormatPr defaultColWidth="9.15238095238095" defaultRowHeight="12.75"/>
  <cols>
    <col min="1" max="16384" width="9.15238095238095" customWidth="1"/>
  </cols>
  <sheetData>
    <row r="1" ht="25.5" spans="1:255">
      <c r="A1" s="1" t="s">
        <v>0</v>
      </c>
      <c r="B1" s="1"/>
      <c r="C1" s="2"/>
      <c r="D1" s="2"/>
      <c r="E1" s="1"/>
      <c r="F1" s="1"/>
      <c r="H1" s="2"/>
      <c r="I1" s="35"/>
    </row>
    <row r="2" ht="14.25" spans="1:255">
      <c r="A2" s="4"/>
      <c r="B2" s="4"/>
      <c r="C2" s="5"/>
      <c r="D2" s="4"/>
      <c r="E2" s="4"/>
      <c r="F2" s="6" t="s">
        <v>1</v>
      </c>
      <c r="I2" s="35"/>
    </row>
    <row r="3" ht="14.25" spans="1:255">
      <c r="A3" s="4" t="s">
        <v>2</v>
      </c>
      <c r="B3" s="4"/>
      <c r="C3" s="4" t="s">
        <v>3</v>
      </c>
      <c r="D3" s="4"/>
      <c r="E3" s="4"/>
      <c r="F3" s="6" t="s">
        <v>4</v>
      </c>
      <c r="I3" s="35"/>
      <c r="J3" s="36"/>
      <c r="K3" s="36"/>
    </row>
    <row r="4" ht="14.25" spans="1:255">
      <c r="A4" s="9" t="s">
        <v>5</v>
      </c>
      <c r="B4" s="9" t="s">
        <v>6</v>
      </c>
      <c r="C4" s="10" t="s">
        <v>7</v>
      </c>
      <c r="D4" s="10" t="s">
        <v>8</v>
      </c>
      <c r="E4" s="9" t="s">
        <v>6</v>
      </c>
      <c r="F4" s="9" t="s">
        <v>7</v>
      </c>
      <c r="H4" s="37"/>
      <c r="I4" s="38"/>
      <c r="J4" s="39"/>
      <c r="K4" s="39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/>
      <c r="HW4" s="37"/>
      <c r="HX4" s="37"/>
      <c r="HY4" s="37"/>
      <c r="HZ4" s="37"/>
      <c r="IA4" s="37"/>
      <c r="IB4" s="37"/>
      <c r="IC4" s="37"/>
      <c r="ID4" s="37"/>
      <c r="IE4" s="37"/>
      <c r="IF4" s="37"/>
      <c r="IG4" s="37"/>
      <c r="IH4" s="37"/>
      <c r="II4" s="37"/>
      <c r="IJ4" s="37"/>
      <c r="IK4" s="37"/>
      <c r="IL4" s="37"/>
      <c r="IM4" s="37"/>
      <c r="IN4" s="37"/>
      <c r="IO4" s="37"/>
      <c r="IP4" s="37"/>
      <c r="IQ4" s="37"/>
      <c r="IR4" s="37"/>
      <c r="IS4" s="37"/>
      <c r="IT4" s="37"/>
      <c r="IU4" s="37"/>
    </row>
    <row r="5" ht="13.5" spans="1:255">
      <c r="A5" s="12" t="s">
        <v>9</v>
      </c>
      <c r="B5" s="13" t="s">
        <v>10</v>
      </c>
      <c r="C5" s="13"/>
      <c r="D5" s="14" t="s">
        <v>11</v>
      </c>
      <c r="E5" s="13" t="s">
        <v>10</v>
      </c>
      <c r="F5" s="13" t="s">
        <v>10</v>
      </c>
      <c r="H5" s="37"/>
      <c r="I5" s="38"/>
      <c r="J5" s="39"/>
      <c r="K5" s="39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  <c r="GP5" s="37"/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37"/>
      <c r="IM5" s="37"/>
      <c r="IN5" s="37"/>
      <c r="IO5" s="37"/>
      <c r="IP5" s="37"/>
      <c r="IQ5" s="37"/>
      <c r="IR5" s="37"/>
      <c r="IS5" s="37"/>
      <c r="IT5" s="37"/>
      <c r="IU5" s="37"/>
    </row>
    <row r="6" ht="13.5" spans="1:255">
      <c r="A6" s="17" t="s">
        <v>12</v>
      </c>
      <c r="B6" s="13" t="s">
        <v>13</v>
      </c>
      <c r="C6" s="13" t="s">
        <v>14</v>
      </c>
      <c r="D6" s="18" t="s">
        <v>15</v>
      </c>
      <c r="E6" s="13" t="s">
        <v>16</v>
      </c>
      <c r="F6" s="13" t="s">
        <v>17</v>
      </c>
      <c r="H6" s="37"/>
      <c r="I6" s="38"/>
      <c r="J6" s="39"/>
      <c r="K6" s="39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</row>
    <row r="7" ht="19.5" spans="1:255">
      <c r="A7" s="17" t="s">
        <v>18</v>
      </c>
      <c r="B7" s="13" t="s">
        <v>19</v>
      </c>
      <c r="C7" s="13" t="s">
        <v>20</v>
      </c>
      <c r="D7" s="18" t="s">
        <v>21</v>
      </c>
      <c r="E7" s="13" t="s">
        <v>22</v>
      </c>
      <c r="F7" s="13" t="s">
        <v>23</v>
      </c>
      <c r="H7" s="37"/>
      <c r="I7" s="38"/>
      <c r="J7" s="40"/>
      <c r="K7" s="4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DK7" s="41"/>
      <c r="DL7" s="41"/>
      <c r="DM7" s="41"/>
      <c r="DN7" s="41"/>
      <c r="DO7" s="41"/>
      <c r="DP7" s="41"/>
      <c r="DQ7" s="41"/>
      <c r="DR7" s="41"/>
    </row>
    <row r="8" ht="13.5" spans="1:255">
      <c r="A8" s="17" t="s">
        <v>24</v>
      </c>
      <c r="B8" s="13" t="s">
        <v>25</v>
      </c>
      <c r="C8" s="13" t="s">
        <v>26</v>
      </c>
      <c r="D8" s="18" t="s">
        <v>27</v>
      </c>
      <c r="E8" s="13" t="s">
        <v>28</v>
      </c>
      <c r="F8" s="13" t="s">
        <v>29</v>
      </c>
      <c r="H8" s="37"/>
      <c r="I8" s="38"/>
    </row>
    <row r="9" ht="13.5" spans="1:255">
      <c r="A9" s="17" t="s">
        <v>30</v>
      </c>
      <c r="B9" s="13" t="s">
        <v>31</v>
      </c>
      <c r="C9" s="13" t="s">
        <v>32</v>
      </c>
      <c r="D9" s="18" t="s">
        <v>33</v>
      </c>
      <c r="E9" s="13" t="s">
        <v>34</v>
      </c>
      <c r="F9" s="13" t="s">
        <v>35</v>
      </c>
      <c r="H9" s="37"/>
      <c r="I9" s="38"/>
    </row>
    <row r="10" ht="13.5" spans="1:255">
      <c r="A10" s="17" t="s">
        <v>36</v>
      </c>
      <c r="B10" s="13" t="s">
        <v>37</v>
      </c>
      <c r="C10" s="13" t="s">
        <v>38</v>
      </c>
      <c r="D10" s="18" t="s">
        <v>39</v>
      </c>
      <c r="E10" s="13" t="s">
        <v>40</v>
      </c>
      <c r="F10" s="13" t="s">
        <v>41</v>
      </c>
      <c r="H10" s="37"/>
      <c r="I10" s="38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DK10" s="42"/>
      <c r="DL10" s="42"/>
      <c r="DM10" s="42"/>
      <c r="DN10" s="42"/>
      <c r="DO10" s="42"/>
      <c r="DP10" s="42"/>
      <c r="DQ10" s="42"/>
      <c r="DR10" s="42"/>
    </row>
    <row r="11" ht="13.5" spans="1:255">
      <c r="A11" s="17" t="s">
        <v>42</v>
      </c>
      <c r="B11" s="13" t="s">
        <v>43</v>
      </c>
      <c r="C11" s="13" t="s">
        <v>44</v>
      </c>
      <c r="D11" s="18" t="s">
        <v>45</v>
      </c>
      <c r="E11" s="13" t="s">
        <v>46</v>
      </c>
      <c r="F11" s="13" t="s">
        <v>47</v>
      </c>
      <c r="H11" s="37"/>
      <c r="I11" s="38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DK11" s="42"/>
      <c r="DL11" s="42"/>
      <c r="DM11" s="42"/>
      <c r="DN11" s="42"/>
      <c r="DO11" s="42"/>
      <c r="DP11" s="42"/>
      <c r="DQ11" s="42"/>
      <c r="DR11" s="42"/>
    </row>
    <row r="12" ht="13.5" spans="1:255">
      <c r="A12" s="17" t="s">
        <v>48</v>
      </c>
      <c r="B12" s="13" t="s">
        <v>49</v>
      </c>
      <c r="C12" s="13" t="s">
        <v>50</v>
      </c>
      <c r="D12" s="18" t="s">
        <v>51</v>
      </c>
      <c r="E12" s="13" t="s">
        <v>52</v>
      </c>
      <c r="F12" s="13" t="s">
        <v>53</v>
      </c>
      <c r="H12" s="37"/>
      <c r="I12" s="38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</row>
    <row r="13" ht="13.5" spans="1:255">
      <c r="A13" s="17" t="s">
        <v>54</v>
      </c>
      <c r="B13" s="13" t="s">
        <v>55</v>
      </c>
      <c r="C13" s="13" t="s">
        <v>56</v>
      </c>
      <c r="D13" s="18" t="s">
        <v>57</v>
      </c>
      <c r="E13" s="13" t="s">
        <v>58</v>
      </c>
      <c r="F13" s="13" t="s">
        <v>59</v>
      </c>
      <c r="H13" s="37"/>
      <c r="I13" s="38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</row>
    <row r="14" ht="13.5" spans="1:255">
      <c r="A14" s="17" t="s">
        <v>60</v>
      </c>
      <c r="B14" s="13" t="s">
        <v>61</v>
      </c>
      <c r="C14" s="13" t="s">
        <v>62</v>
      </c>
      <c r="D14" s="19" t="s">
        <v>63</v>
      </c>
      <c r="E14" s="13" t="s">
        <v>64</v>
      </c>
      <c r="F14" s="13" t="s">
        <v>65</v>
      </c>
      <c r="H14" s="37"/>
      <c r="I14" s="38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</row>
    <row r="15" ht="13.5" spans="1:255">
      <c r="A15" s="17" t="s">
        <v>66</v>
      </c>
      <c r="B15" s="13" t="s">
        <v>67</v>
      </c>
      <c r="C15" s="13" t="s">
        <v>68</v>
      </c>
      <c r="D15" s="18" t="s">
        <v>69</v>
      </c>
      <c r="E15" s="13" t="s">
        <v>70</v>
      </c>
      <c r="F15" s="13" t="s">
        <v>71</v>
      </c>
      <c r="H15" s="37"/>
      <c r="I15" s="38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</row>
    <row r="16" ht="13.5" spans="1:255">
      <c r="A16" s="17" t="s">
        <v>72</v>
      </c>
      <c r="B16" s="13" t="s">
        <v>73</v>
      </c>
      <c r="C16" s="13" t="s">
        <v>74</v>
      </c>
      <c r="D16" s="18" t="s">
        <v>75</v>
      </c>
      <c r="E16" s="13" t="s">
        <v>76</v>
      </c>
      <c r="F16" s="13" t="s">
        <v>77</v>
      </c>
      <c r="H16" s="37"/>
      <c r="I16" s="38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</row>
    <row r="17" ht="13.5" spans="1:122">
      <c r="A17" s="17" t="s">
        <v>78</v>
      </c>
      <c r="B17" s="13">
        <v>0</v>
      </c>
      <c r="C17" s="13">
        <v>0</v>
      </c>
      <c r="D17" s="19" t="s">
        <v>79</v>
      </c>
      <c r="E17" s="13" t="s">
        <v>80</v>
      </c>
      <c r="F17" s="13" t="s">
        <v>81</v>
      </c>
      <c r="H17" s="37"/>
      <c r="I17" s="38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</row>
    <row r="18" ht="13.5" spans="1:122">
      <c r="A18" s="17" t="s">
        <v>82</v>
      </c>
      <c r="B18" s="13">
        <v>0</v>
      </c>
      <c r="C18" s="13">
        <v>0</v>
      </c>
      <c r="D18" s="19" t="s">
        <v>83</v>
      </c>
      <c r="E18" s="13">
        <v>0</v>
      </c>
      <c r="F18" s="13">
        <v>0</v>
      </c>
      <c r="H18" s="37"/>
      <c r="I18" s="38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</row>
    <row r="19" ht="13.5" spans="1:122">
      <c r="A19" s="12" t="s">
        <v>84</v>
      </c>
      <c r="B19" s="22" t="e">
        <f>B6+B7+B8+B9+B10+B11+B12+B13+B14+B15+B16+B17+B18</f>
        <v>#VALUE!</v>
      </c>
      <c r="C19" s="22" t="e">
        <f>C6+C7+C8+C9+C10+C11+C12+C13+C14+C15+C16+C17+C18</f>
        <v>#VALUE!</v>
      </c>
      <c r="D19" s="18" t="s">
        <v>85</v>
      </c>
      <c r="E19" s="13">
        <v>0</v>
      </c>
      <c r="F19" s="13">
        <v>0</v>
      </c>
      <c r="H19" s="37"/>
      <c r="I19" s="38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</row>
    <row r="20" ht="13.5" spans="1:122">
      <c r="A20" s="12" t="s">
        <v>86</v>
      </c>
      <c r="B20" s="13" t="s">
        <v>10</v>
      </c>
      <c r="C20" s="13" t="s">
        <v>10</v>
      </c>
      <c r="D20" s="14" t="s">
        <v>87</v>
      </c>
      <c r="E20" s="22" t="e">
        <f>E6+E7+E8+E9+E10+E11+E12+E13+E14+E15+E16+E17+E18+E19</f>
        <v>#VALUE!</v>
      </c>
      <c r="F20" s="22" t="e">
        <f>F6+F7+F8+F9+F10+F11+F12+F13+F14+F15+F16+F17+F18+F19</f>
        <v>#VALUE!</v>
      </c>
      <c r="H20" s="37"/>
      <c r="I20" s="38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</row>
    <row r="21" ht="13.5" spans="1:122">
      <c r="A21" s="17" t="s">
        <v>88</v>
      </c>
      <c r="B21" s="13" t="s">
        <v>89</v>
      </c>
      <c r="C21" s="13" t="s">
        <v>90</v>
      </c>
      <c r="D21" s="14" t="s">
        <v>91</v>
      </c>
      <c r="E21" s="13" t="s">
        <v>10</v>
      </c>
      <c r="F21" s="13" t="s">
        <v>10</v>
      </c>
      <c r="H21" s="37"/>
      <c r="I21" s="38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</row>
    <row r="22" ht="13.5" spans="1:122">
      <c r="A22" s="17" t="s">
        <v>92</v>
      </c>
      <c r="B22" s="13" t="s">
        <v>93</v>
      </c>
      <c r="C22" s="13" t="s">
        <v>94</v>
      </c>
      <c r="D22" s="18" t="s">
        <v>95</v>
      </c>
      <c r="E22" s="13" t="s">
        <v>96</v>
      </c>
      <c r="F22" s="13" t="s">
        <v>97</v>
      </c>
      <c r="H22" s="37"/>
      <c r="I22" s="38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</row>
    <row r="23" ht="13.5" spans="1:122">
      <c r="A23" s="17" t="s">
        <v>98</v>
      </c>
      <c r="B23" s="13" t="s">
        <v>99</v>
      </c>
      <c r="C23" s="13" t="s">
        <v>100</v>
      </c>
      <c r="D23" s="18" t="s">
        <v>101</v>
      </c>
      <c r="E23" s="13" t="s">
        <v>102</v>
      </c>
      <c r="F23" s="13" t="s">
        <v>103</v>
      </c>
      <c r="H23" s="37"/>
      <c r="I23" s="38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</row>
    <row r="24" ht="13.5" spans="1:122">
      <c r="A24" s="17" t="s">
        <v>104</v>
      </c>
      <c r="B24" s="13" t="s">
        <v>105</v>
      </c>
      <c r="C24" s="13" t="s">
        <v>106</v>
      </c>
      <c r="D24" s="18" t="s">
        <v>107</v>
      </c>
      <c r="E24" s="13" t="s">
        <v>108</v>
      </c>
      <c r="F24" s="13" t="s">
        <v>109</v>
      </c>
      <c r="H24" s="37"/>
      <c r="I24" s="38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</row>
    <row r="25" ht="13.5" spans="1:122">
      <c r="A25" s="17" t="s">
        <v>110</v>
      </c>
      <c r="B25" s="13" t="e">
        <f>B23-B24</f>
        <v>#VALUE!</v>
      </c>
      <c r="C25" s="13" t="e">
        <f>C23-C24</f>
        <v>#VALUE!</v>
      </c>
      <c r="D25" s="18" t="s">
        <v>111</v>
      </c>
      <c r="E25" s="23">
        <v>0</v>
      </c>
      <c r="F25" s="23">
        <v>0</v>
      </c>
      <c r="H25" s="37"/>
      <c r="I25" s="38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</row>
    <row r="26" ht="13.5" spans="1:122">
      <c r="A26" s="17" t="s">
        <v>112</v>
      </c>
      <c r="B26" s="13" t="s">
        <v>113</v>
      </c>
      <c r="C26" s="13" t="s">
        <v>114</v>
      </c>
      <c r="D26" s="14" t="s">
        <v>115</v>
      </c>
      <c r="E26" s="22" t="e">
        <f>E22+E23+E24+E25</f>
        <v>#VALUE!</v>
      </c>
      <c r="F26" s="22" t="e">
        <f>F22+F23+F24+F25</f>
        <v>#VALUE!</v>
      </c>
      <c r="H26" s="37"/>
      <c r="I26" s="38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</row>
    <row r="27" ht="13.5" spans="1:122">
      <c r="A27" s="17" t="s">
        <v>116</v>
      </c>
      <c r="B27" s="13" t="s">
        <v>117</v>
      </c>
      <c r="C27" s="13" t="s">
        <v>118</v>
      </c>
      <c r="D27" s="18" t="s">
        <v>119</v>
      </c>
      <c r="E27" s="24" t="s">
        <v>120</v>
      </c>
      <c r="F27" s="24" t="s">
        <v>121</v>
      </c>
      <c r="H27" s="37"/>
      <c r="I27" s="38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</row>
    <row r="28" ht="13.5" spans="1:122">
      <c r="A28" s="17" t="s">
        <v>122</v>
      </c>
      <c r="B28" s="13" t="s">
        <v>123</v>
      </c>
      <c r="C28" s="13" t="s">
        <v>124</v>
      </c>
      <c r="D28" s="14" t="s">
        <v>125</v>
      </c>
      <c r="E28" s="22" t="e">
        <f>E20+E26+E27</f>
        <v>#VALUE!</v>
      </c>
      <c r="F28" s="22" t="e">
        <f>F20+F26+F27</f>
        <v>#VALUE!</v>
      </c>
      <c r="H28" s="37"/>
      <c r="I28" s="38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</row>
    <row r="29" ht="13.5" spans="1:122">
      <c r="A29" s="17" t="s">
        <v>126</v>
      </c>
      <c r="B29" s="13" t="s">
        <v>127</v>
      </c>
      <c r="C29" s="13" t="s">
        <v>128</v>
      </c>
      <c r="D29" s="18"/>
      <c r="E29" s="16"/>
      <c r="F29" s="16"/>
      <c r="H29" s="37"/>
      <c r="I29" s="38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</row>
    <row r="30" ht="13.5" spans="1:122">
      <c r="A30" s="17" t="s">
        <v>129</v>
      </c>
      <c r="B30" s="13" t="e">
        <f>B28-B29</f>
        <v>#VALUE!</v>
      </c>
      <c r="C30" s="13" t="e">
        <f>C28-C29</f>
        <v>#VALUE!</v>
      </c>
      <c r="D30" s="18"/>
      <c r="E30" s="13"/>
      <c r="F30" s="13"/>
      <c r="H30" s="37"/>
      <c r="I30" s="38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</row>
    <row r="31" ht="13.5" spans="1:122">
      <c r="A31" s="17" t="s">
        <v>130</v>
      </c>
      <c r="B31" s="13" t="s">
        <v>131</v>
      </c>
      <c r="C31" s="13" t="s">
        <v>132</v>
      </c>
      <c r="D31" s="18"/>
      <c r="E31" s="13"/>
      <c r="F31" s="13"/>
      <c r="H31" s="37"/>
      <c r="I31" s="38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</row>
    <row r="32" ht="13.5" spans="1:122">
      <c r="A32" s="17" t="s">
        <v>133</v>
      </c>
      <c r="B32" s="13" t="s">
        <v>134</v>
      </c>
      <c r="C32" s="13" t="s">
        <v>135</v>
      </c>
      <c r="D32" s="18"/>
      <c r="E32" s="13"/>
      <c r="F32" s="13"/>
      <c r="H32" s="37"/>
      <c r="I32" s="38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</row>
    <row r="33" ht="13.5" spans="1:122">
      <c r="A33" s="17" t="s">
        <v>136</v>
      </c>
      <c r="B33" s="13" t="s">
        <v>137</v>
      </c>
      <c r="C33" s="13" t="s">
        <v>138</v>
      </c>
      <c r="D33" s="18"/>
      <c r="E33" s="13"/>
      <c r="F33" s="13"/>
      <c r="H33" s="37"/>
      <c r="I33" s="38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</row>
    <row r="34" ht="13.5" spans="1:122">
      <c r="A34" s="17" t="s">
        <v>139</v>
      </c>
      <c r="B34" s="13" t="e">
        <f>B32-B33</f>
        <v>#VALUE!</v>
      </c>
      <c r="C34" s="13" t="e">
        <f>C32-C33</f>
        <v>#VALUE!</v>
      </c>
      <c r="D34" s="18"/>
      <c r="E34" s="13"/>
      <c r="F34" s="13"/>
      <c r="H34" s="37"/>
      <c r="I34" s="38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</row>
    <row r="35" ht="13.5" spans="1:122">
      <c r="A35" s="17" t="s">
        <v>140</v>
      </c>
      <c r="B35" s="13" t="s">
        <v>141</v>
      </c>
      <c r="C35" s="13" t="s">
        <v>142</v>
      </c>
      <c r="D35" s="18"/>
      <c r="E35" s="13"/>
      <c r="F35" s="13"/>
      <c r="H35" s="37"/>
      <c r="I35" s="38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</row>
    <row r="36" ht="13.5" spans="1:122">
      <c r="A36" s="17" t="s">
        <v>143</v>
      </c>
      <c r="B36" s="13" t="s">
        <v>144</v>
      </c>
      <c r="C36" s="13" t="s">
        <v>145</v>
      </c>
      <c r="D36" s="18"/>
      <c r="E36" s="13"/>
      <c r="F36" s="13"/>
      <c r="H36" s="37"/>
      <c r="I36" s="38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</row>
    <row r="37" ht="13.5" spans="1:122">
      <c r="A37" s="17" t="s">
        <v>146</v>
      </c>
      <c r="B37" s="13" t="s">
        <v>147</v>
      </c>
      <c r="C37" s="13" t="s">
        <v>148</v>
      </c>
      <c r="D37" s="18"/>
      <c r="E37" s="13"/>
      <c r="F37" s="13"/>
      <c r="H37" s="37"/>
      <c r="I37" s="38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</row>
    <row r="38" ht="13.5" spans="1:122">
      <c r="A38" s="17" t="s">
        <v>149</v>
      </c>
      <c r="B38" s="13" t="s">
        <v>150</v>
      </c>
      <c r="C38" s="13" t="s">
        <v>151</v>
      </c>
      <c r="D38" s="14" t="s">
        <v>152</v>
      </c>
      <c r="E38" s="13" t="s">
        <v>10</v>
      </c>
      <c r="F38" s="13" t="s">
        <v>10</v>
      </c>
      <c r="H38" s="37"/>
      <c r="I38" s="38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</row>
    <row r="39" ht="13.5" spans="1:122">
      <c r="A39" s="17" t="s">
        <v>153</v>
      </c>
      <c r="B39" s="13" t="e">
        <f>B37-B38</f>
        <v>#VALUE!</v>
      </c>
      <c r="C39" s="13" t="e">
        <f>C37-C38</f>
        <v>#VALUE!</v>
      </c>
      <c r="D39" s="18" t="s">
        <v>154</v>
      </c>
      <c r="E39" s="13" t="s">
        <v>155</v>
      </c>
      <c r="F39" s="13" t="s">
        <v>156</v>
      </c>
      <c r="H39" s="37"/>
      <c r="I39" s="38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</row>
    <row r="40" ht="13.5" spans="1:122">
      <c r="A40" s="17" t="s">
        <v>157</v>
      </c>
      <c r="B40" s="13" t="s">
        <v>158</v>
      </c>
      <c r="C40" s="13" t="s">
        <v>159</v>
      </c>
      <c r="D40" s="18" t="s">
        <v>160</v>
      </c>
      <c r="E40" s="13" t="s">
        <v>161</v>
      </c>
      <c r="F40" s="13" t="s">
        <v>162</v>
      </c>
      <c r="H40" s="37"/>
      <c r="I40" s="38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</row>
    <row r="41" ht="13.5" spans="1:122">
      <c r="A41" s="17" t="s">
        <v>163</v>
      </c>
      <c r="B41" s="13" t="s">
        <v>164</v>
      </c>
      <c r="C41" s="13" t="s">
        <v>165</v>
      </c>
      <c r="D41" s="18" t="s">
        <v>166</v>
      </c>
      <c r="E41" s="13" t="s">
        <v>167</v>
      </c>
      <c r="F41" s="13" t="s">
        <v>168</v>
      </c>
      <c r="H41" s="37"/>
      <c r="I41" s="38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</row>
    <row r="42" ht="13.5" spans="1:122">
      <c r="A42" s="17" t="s">
        <v>169</v>
      </c>
      <c r="B42" s="13">
        <v>0</v>
      </c>
      <c r="C42" s="13">
        <v>0</v>
      </c>
      <c r="D42" s="18" t="s">
        <v>170</v>
      </c>
      <c r="E42" s="13" t="s">
        <v>171</v>
      </c>
      <c r="F42" s="13" t="s">
        <v>172</v>
      </c>
      <c r="H42" s="37"/>
      <c r="I42" s="38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</row>
    <row r="43" ht="13.5" spans="1:122">
      <c r="A43" s="12" t="s">
        <v>173</v>
      </c>
      <c r="B43" s="22" t="e">
        <f>B21+B22+B25+B26+B27+B30+B31+B34+B35+B36+B39+B40+B41+B42</f>
        <v>#VALUE!</v>
      </c>
      <c r="C43" s="22" t="e">
        <f>C21+C22+C25+C26+C27+C30+C31+C34+C35+C36+C39+C40+C41+C42</f>
        <v>#VALUE!</v>
      </c>
      <c r="D43" s="18" t="s">
        <v>174</v>
      </c>
      <c r="E43" s="23" t="s">
        <v>175</v>
      </c>
      <c r="F43" s="23" t="s">
        <v>176</v>
      </c>
      <c r="H43" s="37"/>
      <c r="I43" s="38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  <c r="DP43" s="42"/>
      <c r="DQ43" s="42"/>
      <c r="DR43" s="42"/>
    </row>
    <row r="44" ht="13.5" spans="1:122">
      <c r="A44" s="17" t="s">
        <v>177</v>
      </c>
      <c r="B44" s="13" t="s">
        <v>178</v>
      </c>
      <c r="C44" s="13" t="s">
        <v>179</v>
      </c>
      <c r="D44" s="25" t="s">
        <v>180</v>
      </c>
      <c r="E44" s="26" t="e">
        <f>E39+E40+E41+E42+E43</f>
        <v>#VALUE!</v>
      </c>
      <c r="F44" s="26" t="e">
        <f>F39+F40+F41+F42+F43</f>
        <v>#VALUE!</v>
      </c>
      <c r="H44" s="37"/>
      <c r="I44" s="38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42"/>
    </row>
    <row r="45" ht="14.25" spans="1:122">
      <c r="A45" s="27" t="s">
        <v>181</v>
      </c>
      <c r="B45" s="28" t="e">
        <f>B19+B43+B44</f>
        <v>#VALUE!</v>
      </c>
      <c r="C45" s="28" t="e">
        <f>C19+C43+C44</f>
        <v>#VALUE!</v>
      </c>
      <c r="D45" s="29" t="s">
        <v>182</v>
      </c>
      <c r="E45" s="30" t="e">
        <f>E28+E44</f>
        <v>#VALUE!</v>
      </c>
      <c r="F45" s="30" t="e">
        <f>F28+F44</f>
        <v>#VALUE!</v>
      </c>
      <c r="H45" s="37"/>
      <c r="I45" s="38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42"/>
    </row>
    <row r="46" ht="14.25" spans="1:122">
      <c r="A46" s="31" t="s">
        <v>183</v>
      </c>
      <c r="B46" s="32"/>
      <c r="C46" s="33"/>
      <c r="D46" s="33"/>
      <c r="E46" s="34"/>
      <c r="F46" s="32"/>
      <c r="I46" s="35"/>
      <c r="J46" s="36"/>
      <c r="K46" s="36"/>
    </row>
    <row r="47" ht="14.25" spans="1:122">
      <c r="A47" s="34" t="s">
        <v>184</v>
      </c>
      <c r="B47" s="32"/>
      <c r="C47" s="33" t="s">
        <v>185</v>
      </c>
      <c r="D47" s="33"/>
      <c r="E47" s="34" t="s">
        <v>186</v>
      </c>
      <c r="F47" s="32"/>
      <c r="I47" s="35"/>
      <c r="J47" s="36"/>
      <c r="K47" s="36"/>
    </row>
    <row r="48" ht="14.25" spans="1:122">
      <c r="A48" s="34"/>
      <c r="B48" s="32"/>
      <c r="C48" s="33"/>
      <c r="D48" s="33"/>
      <c r="E48" s="34"/>
      <c r="F48" s="32"/>
      <c r="I48" s="35"/>
      <c r="J48" s="36"/>
      <c r="K48" s="36"/>
    </row>
    <row r="49" ht="14.25" spans="1:6">
      <c r="A49" s="43"/>
      <c r="B49" s="44" t="s">
        <v>10</v>
      </c>
      <c r="C49" s="44" t="s">
        <v>10</v>
      </c>
      <c r="D49" s="45"/>
      <c r="E49" s="46" t="e">
        <f>SUM(E29:E48)</f>
        <v>#VALUE!</v>
      </c>
      <c r="F49" s="46" t="e">
        <f>SUM(F29:F48)</f>
        <v>#VALUE!</v>
      </c>
    </row>
    <row r="50" ht="14.25" spans="1:6">
      <c r="A50" s="45"/>
      <c r="B50" s="46"/>
      <c r="C50" s="46"/>
      <c r="D50" s="46"/>
      <c r="E50" s="46" t="e">
        <f>E49+E27</f>
        <v>#VALUE!</v>
      </c>
      <c r="F50" s="46" t="e">
        <f>F49+F27</f>
        <v>#VALUE!</v>
      </c>
    </row>
    <row r="51" ht="14.25" spans="1:6">
      <c r="A51" s="34"/>
      <c r="B51" s="32"/>
      <c r="C51" s="33"/>
      <c r="D51" s="33"/>
      <c r="E51" s="34"/>
      <c r="F51" s="32"/>
    </row>
    <row r="52" ht="14.25" spans="1:6">
      <c r="A52" s="34" t="s">
        <v>184</v>
      </c>
      <c r="B52" s="32"/>
      <c r="C52" s="33" t="s">
        <v>185</v>
      </c>
      <c r="D52" s="33"/>
      <c r="E52" s="34" t="s">
        <v>186</v>
      </c>
      <c r="F52" s="32"/>
    </row>
    <row r="53" ht="14.25" spans="1:6">
      <c r="A53" s="34"/>
      <c r="B53" s="32"/>
      <c r="C53" s="33"/>
      <c r="D53" s="33"/>
      <c r="E53" s="34"/>
      <c r="F53" s="32"/>
    </row>
  </sheetData>
  <printOptions gridLines="1"/>
  <pageMargins left="0.75" right="0.75" top="1" bottom="1" header="0.5" footer="0.5"/>
  <pageSetup paperSize="9" orientation="portrait" horizontalDpi="180" verticalDpi="180"/>
  <headerFooter alignWithMargins="0" scaleWithDoc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zoomScaleSheetLayoutView="60" workbookViewId="0">
      <selection activeCell="A1" sqref="A1:F48"/>
    </sheetView>
  </sheetViews>
  <sheetFormatPr defaultColWidth="9.15238095238095" defaultRowHeight="12.75" outlineLevelCol="7"/>
  <cols>
    <col min="1" max="16384" width="9.15238095238095" customWidth="1"/>
  </cols>
  <sheetData>
    <row r="1" ht="25.5" spans="1:8">
      <c r="A1" s="1" t="s">
        <v>0</v>
      </c>
      <c r="B1" s="1"/>
      <c r="C1" s="2"/>
      <c r="D1" s="2"/>
      <c r="E1" s="1"/>
      <c r="F1" s="1"/>
      <c r="G1" s="3"/>
      <c r="H1" s="3"/>
    </row>
    <row r="2" ht="14.25" spans="1:8">
      <c r="A2" s="4"/>
      <c r="B2" s="4"/>
      <c r="C2" s="5"/>
      <c r="D2" s="4"/>
      <c r="E2" s="4"/>
      <c r="F2" s="6" t="s">
        <v>1</v>
      </c>
      <c r="G2" s="7"/>
      <c r="H2" s="8" t="s">
        <v>187</v>
      </c>
    </row>
    <row r="3" ht="14.25" spans="1:8">
      <c r="A3" s="4" t="s">
        <v>188</v>
      </c>
      <c r="B3" s="4"/>
      <c r="C3" s="4" t="s">
        <v>189</v>
      </c>
      <c r="D3" s="4"/>
      <c r="E3" s="4"/>
      <c r="F3" s="6" t="s">
        <v>4</v>
      </c>
      <c r="G3" s="8" t="s">
        <v>190</v>
      </c>
    </row>
    <row r="4" ht="14.25" spans="1:8">
      <c r="A4" s="9" t="s">
        <v>5</v>
      </c>
      <c r="B4" s="9" t="s">
        <v>6</v>
      </c>
      <c r="C4" s="10" t="s">
        <v>7</v>
      </c>
      <c r="D4" s="10" t="s">
        <v>8</v>
      </c>
      <c r="E4" s="9" t="s">
        <v>6</v>
      </c>
      <c r="F4" s="9" t="s">
        <v>7</v>
      </c>
      <c r="G4" s="11" t="s">
        <v>191</v>
      </c>
      <c r="H4" s="11" t="s">
        <v>192</v>
      </c>
    </row>
    <row r="5" spans="1:8">
      <c r="A5" s="12" t="s">
        <v>9</v>
      </c>
      <c r="B5" s="13" t="s">
        <v>10</v>
      </c>
      <c r="C5" s="13"/>
      <c r="D5" s="14" t="s">
        <v>11</v>
      </c>
      <c r="E5" s="13" t="s">
        <v>10</v>
      </c>
      <c r="F5" s="13" t="s">
        <v>10</v>
      </c>
      <c r="G5" s="15"/>
      <c r="H5" s="16"/>
    </row>
    <row r="6" spans="1:8">
      <c r="A6" s="17" t="s">
        <v>12</v>
      </c>
      <c r="B6" s="13">
        <f t="shared" ref="B6:B16" si="0">0</f>
        <v>0</v>
      </c>
      <c r="C6" s="13">
        <f t="shared" ref="C6:C16" si="1">0</f>
        <v>0</v>
      </c>
      <c r="D6" s="18" t="s">
        <v>15</v>
      </c>
      <c r="E6" s="13">
        <f t="shared" ref="E6:E17" si="2">0</f>
        <v>0</v>
      </c>
      <c r="F6" s="13">
        <f t="shared" ref="F6:F17" si="3">0</f>
        <v>0</v>
      </c>
      <c r="G6" s="13">
        <f t="shared" ref="G6:G13" si="4">0</f>
        <v>0</v>
      </c>
      <c r="H6" s="13">
        <f t="shared" ref="H6:H13" si="5">0</f>
        <v>0</v>
      </c>
    </row>
    <row r="7" spans="1:8">
      <c r="A7" s="17" t="s">
        <v>18</v>
      </c>
      <c r="B7" s="13">
        <f t="shared" si="0"/>
        <v>0</v>
      </c>
      <c r="C7" s="13">
        <f t="shared" si="1"/>
        <v>0</v>
      </c>
      <c r="D7" s="18" t="s">
        <v>21</v>
      </c>
      <c r="E7" s="13">
        <f t="shared" si="2"/>
        <v>0</v>
      </c>
      <c r="F7" s="13">
        <f t="shared" si="3"/>
        <v>0</v>
      </c>
      <c r="G7" s="13">
        <f t="shared" si="4"/>
        <v>0</v>
      </c>
      <c r="H7" s="13">
        <f t="shared" si="5"/>
        <v>0</v>
      </c>
    </row>
    <row r="8" spans="1:8">
      <c r="A8" s="17" t="s">
        <v>24</v>
      </c>
      <c r="B8" s="13">
        <f t="shared" si="0"/>
        <v>0</v>
      </c>
      <c r="C8" s="13">
        <f t="shared" si="1"/>
        <v>0</v>
      </c>
      <c r="D8" s="18" t="s">
        <v>27</v>
      </c>
      <c r="E8" s="13">
        <f t="shared" si="2"/>
        <v>0</v>
      </c>
      <c r="F8" s="13">
        <f t="shared" si="3"/>
        <v>0</v>
      </c>
      <c r="G8" s="13">
        <f t="shared" si="4"/>
        <v>0</v>
      </c>
      <c r="H8" s="13">
        <f t="shared" si="5"/>
        <v>0</v>
      </c>
    </row>
    <row r="9" spans="1:8">
      <c r="A9" s="17" t="s">
        <v>30</v>
      </c>
      <c r="B9" s="13">
        <f t="shared" si="0"/>
        <v>0</v>
      </c>
      <c r="C9" s="13">
        <f t="shared" si="1"/>
        <v>0</v>
      </c>
      <c r="D9" s="18" t="s">
        <v>33</v>
      </c>
      <c r="E9" s="13">
        <f t="shared" si="2"/>
        <v>0</v>
      </c>
      <c r="F9" s="13">
        <f t="shared" si="3"/>
        <v>0</v>
      </c>
      <c r="G9" s="13">
        <f t="shared" si="4"/>
        <v>0</v>
      </c>
      <c r="H9" s="13">
        <f t="shared" si="5"/>
        <v>0</v>
      </c>
    </row>
    <row r="10" spans="1:8">
      <c r="A10" s="17" t="s">
        <v>36</v>
      </c>
      <c r="B10" s="13">
        <f t="shared" si="0"/>
        <v>0</v>
      </c>
      <c r="C10" s="13">
        <f t="shared" si="1"/>
        <v>0</v>
      </c>
      <c r="D10" s="18" t="s">
        <v>39</v>
      </c>
      <c r="E10" s="13">
        <f t="shared" si="2"/>
        <v>0</v>
      </c>
      <c r="F10" s="13">
        <f t="shared" si="3"/>
        <v>0</v>
      </c>
      <c r="G10" s="13">
        <f t="shared" si="4"/>
        <v>0</v>
      </c>
      <c r="H10" s="13">
        <f t="shared" si="5"/>
        <v>0</v>
      </c>
    </row>
    <row r="11" spans="1:8">
      <c r="A11" s="17" t="s">
        <v>42</v>
      </c>
      <c r="B11" s="13">
        <f t="shared" si="0"/>
        <v>0</v>
      </c>
      <c r="C11" s="13">
        <f t="shared" si="1"/>
        <v>0</v>
      </c>
      <c r="D11" s="18" t="s">
        <v>45</v>
      </c>
      <c r="E11" s="13">
        <f t="shared" si="2"/>
        <v>0</v>
      </c>
      <c r="F11" s="13">
        <f t="shared" si="3"/>
        <v>0</v>
      </c>
      <c r="G11" s="13">
        <f t="shared" si="4"/>
        <v>0</v>
      </c>
      <c r="H11" s="13">
        <f t="shared" si="5"/>
        <v>0</v>
      </c>
    </row>
    <row r="12" spans="1:8">
      <c r="A12" s="17" t="s">
        <v>48</v>
      </c>
      <c r="B12" s="13">
        <f t="shared" si="0"/>
        <v>0</v>
      </c>
      <c r="C12" s="13">
        <f t="shared" si="1"/>
        <v>0</v>
      </c>
      <c r="D12" s="18" t="s">
        <v>51</v>
      </c>
      <c r="E12" s="13">
        <f t="shared" si="2"/>
        <v>0</v>
      </c>
      <c r="F12" s="13">
        <f t="shared" si="3"/>
        <v>0</v>
      </c>
      <c r="G12" s="13">
        <f t="shared" si="4"/>
        <v>0</v>
      </c>
      <c r="H12" s="13">
        <f t="shared" si="5"/>
        <v>0</v>
      </c>
    </row>
    <row r="13" spans="1:8">
      <c r="A13" s="17" t="s">
        <v>54</v>
      </c>
      <c r="B13" s="13">
        <f t="shared" si="0"/>
        <v>0</v>
      </c>
      <c r="C13" s="13">
        <f t="shared" si="1"/>
        <v>0</v>
      </c>
      <c r="D13" s="18" t="s">
        <v>57</v>
      </c>
      <c r="E13" s="13">
        <f t="shared" si="2"/>
        <v>0</v>
      </c>
      <c r="F13" s="13">
        <f t="shared" si="3"/>
        <v>0</v>
      </c>
      <c r="G13" s="13">
        <f t="shared" si="4"/>
        <v>0</v>
      </c>
      <c r="H13" s="13">
        <f t="shared" si="5"/>
        <v>0</v>
      </c>
    </row>
    <row r="14" spans="1:8">
      <c r="A14" s="17" t="s">
        <v>60</v>
      </c>
      <c r="B14" s="13">
        <f t="shared" si="0"/>
        <v>0</v>
      </c>
      <c r="C14" s="13">
        <f t="shared" si="1"/>
        <v>0</v>
      </c>
      <c r="D14" s="19" t="s">
        <v>63</v>
      </c>
      <c r="E14" s="13">
        <f t="shared" si="2"/>
        <v>0</v>
      </c>
      <c r="F14" s="13">
        <f t="shared" si="3"/>
        <v>0</v>
      </c>
      <c r="G14" s="20"/>
      <c r="H14" s="20"/>
    </row>
    <row r="15" spans="1:8">
      <c r="A15" s="17" t="s">
        <v>66</v>
      </c>
      <c r="B15" s="13">
        <f t="shared" si="0"/>
        <v>0</v>
      </c>
      <c r="C15" s="13">
        <f t="shared" si="1"/>
        <v>0</v>
      </c>
      <c r="D15" s="18" t="s">
        <v>69</v>
      </c>
      <c r="E15" s="13">
        <f t="shared" si="2"/>
        <v>0</v>
      </c>
      <c r="F15" s="13">
        <f t="shared" si="3"/>
        <v>0</v>
      </c>
      <c r="G15" s="21">
        <f>G6+G7+G8+G9+G10+G11+G12+G13+G14</f>
        <v>0</v>
      </c>
      <c r="H15" s="13">
        <f>H6+H7+H8+H9+H10+H11+H12+H13+H14</f>
        <v>0</v>
      </c>
    </row>
    <row r="16" spans="1:8">
      <c r="A16" s="17" t="s">
        <v>72</v>
      </c>
      <c r="B16" s="13">
        <f t="shared" si="0"/>
        <v>0</v>
      </c>
      <c r="C16" s="13">
        <f t="shared" si="1"/>
        <v>0</v>
      </c>
      <c r="D16" s="18" t="s">
        <v>75</v>
      </c>
      <c r="E16" s="13">
        <f t="shared" si="2"/>
        <v>0</v>
      </c>
      <c r="F16" s="13">
        <f t="shared" si="3"/>
        <v>0</v>
      </c>
      <c r="G16" s="21" t="s">
        <v>190</v>
      </c>
      <c r="H16" s="13" t="s">
        <v>190</v>
      </c>
    </row>
    <row r="17" spans="1:8">
      <c r="A17" s="17" t="s">
        <v>78</v>
      </c>
      <c r="B17" s="13">
        <v>0</v>
      </c>
      <c r="C17" s="13">
        <v>0</v>
      </c>
      <c r="D17" s="19" t="s">
        <v>79</v>
      </c>
      <c r="E17" s="13">
        <f t="shared" si="2"/>
        <v>0</v>
      </c>
      <c r="F17" s="13">
        <f t="shared" si="3"/>
        <v>0</v>
      </c>
      <c r="G17" s="13">
        <f t="shared" ref="G17:G23" si="6">0</f>
        <v>0</v>
      </c>
      <c r="H17" s="13">
        <f t="shared" ref="H17:H23" si="7">0</f>
        <v>0</v>
      </c>
    </row>
    <row r="18" spans="1:8">
      <c r="A18" s="17" t="s">
        <v>82</v>
      </c>
      <c r="B18" s="13">
        <v>0</v>
      </c>
      <c r="C18" s="13">
        <v>0</v>
      </c>
      <c r="D18" s="19" t="s">
        <v>83</v>
      </c>
      <c r="E18" s="13">
        <v>0</v>
      </c>
      <c r="F18" s="13">
        <v>0</v>
      </c>
      <c r="G18" s="13">
        <f t="shared" si="6"/>
        <v>0</v>
      </c>
      <c r="H18" s="13">
        <f t="shared" si="7"/>
        <v>0</v>
      </c>
    </row>
    <row r="19" spans="1:8">
      <c r="A19" s="12" t="s">
        <v>84</v>
      </c>
      <c r="B19" s="22">
        <f>B6+B7+B8+B9+B10+B11+B12+B13+B14+B15+B16+B17+B18</f>
        <v>0</v>
      </c>
      <c r="C19" s="22">
        <f>C6+C7+C8+C9+C10+C11+C12+C13+C14+C15+C16+C17+C18</f>
        <v>0</v>
      </c>
      <c r="D19" s="18" t="s">
        <v>85</v>
      </c>
      <c r="E19" s="13">
        <v>0</v>
      </c>
      <c r="F19" s="13">
        <v>0</v>
      </c>
      <c r="G19" s="13">
        <f t="shared" si="6"/>
        <v>0</v>
      </c>
      <c r="H19" s="13">
        <f t="shared" si="7"/>
        <v>0</v>
      </c>
    </row>
    <row r="20" spans="1:8">
      <c r="A20" s="12" t="s">
        <v>86</v>
      </c>
      <c r="B20" s="13" t="s">
        <v>10</v>
      </c>
      <c r="C20" s="13" t="s">
        <v>10</v>
      </c>
      <c r="D20" s="14" t="s">
        <v>87</v>
      </c>
      <c r="E20" s="22">
        <f>E6+E7+E8+E9+E10+E11+E12+E13+E14+E15+E16+E17+E18+E19</f>
        <v>0</v>
      </c>
      <c r="F20" s="22">
        <f>F6+F7+F8+F9+F10+F11+F12+F13+F14+F15+F16+F17+F18+F19</f>
        <v>0</v>
      </c>
      <c r="G20" s="13">
        <f t="shared" si="6"/>
        <v>0</v>
      </c>
      <c r="H20" s="13">
        <f t="shared" si="7"/>
        <v>0</v>
      </c>
    </row>
    <row r="21" spans="1:8">
      <c r="A21" s="17" t="s">
        <v>88</v>
      </c>
      <c r="B21" s="13">
        <f>0</f>
        <v>0</v>
      </c>
      <c r="C21" s="13">
        <f>0</f>
        <v>0</v>
      </c>
      <c r="D21" s="14" t="s">
        <v>91</v>
      </c>
      <c r="E21" s="13" t="s">
        <v>10</v>
      </c>
      <c r="F21" s="13" t="s">
        <v>10</v>
      </c>
      <c r="G21" s="13">
        <f t="shared" si="6"/>
        <v>0</v>
      </c>
      <c r="H21" s="13">
        <f t="shared" si="7"/>
        <v>0</v>
      </c>
    </row>
    <row r="22" spans="1:8">
      <c r="A22" s="17" t="s">
        <v>92</v>
      </c>
      <c r="B22" s="13">
        <f>0</f>
        <v>0</v>
      </c>
      <c r="C22" s="13">
        <f>0</f>
        <v>0</v>
      </c>
      <c r="D22" s="18" t="s">
        <v>95</v>
      </c>
      <c r="E22" s="13">
        <f>0</f>
        <v>0</v>
      </c>
      <c r="F22" s="13">
        <f>0</f>
        <v>0</v>
      </c>
      <c r="G22" s="13">
        <f t="shared" si="6"/>
        <v>0</v>
      </c>
      <c r="H22" s="13">
        <f t="shared" si="7"/>
        <v>0</v>
      </c>
    </row>
    <row r="23" spans="1:8">
      <c r="A23" s="17" t="s">
        <v>98</v>
      </c>
      <c r="B23" s="13">
        <f>0</f>
        <v>0</v>
      </c>
      <c r="C23" s="13">
        <f>0</f>
        <v>0</v>
      </c>
      <c r="D23" s="18" t="s">
        <v>101</v>
      </c>
      <c r="E23" s="13">
        <f>0</f>
        <v>0</v>
      </c>
      <c r="F23" s="13">
        <f>0</f>
        <v>0</v>
      </c>
      <c r="G23" s="13">
        <f t="shared" si="6"/>
        <v>0</v>
      </c>
      <c r="H23" s="13">
        <f t="shared" si="7"/>
        <v>0</v>
      </c>
    </row>
    <row r="24" spans="1:8">
      <c r="A24" s="17" t="s">
        <v>104</v>
      </c>
      <c r="B24" s="13">
        <f>0</f>
        <v>0</v>
      </c>
      <c r="C24" s="13">
        <f>0</f>
        <v>0</v>
      </c>
      <c r="D24" s="18" t="s">
        <v>107</v>
      </c>
      <c r="E24" s="13">
        <f>0</f>
        <v>0</v>
      </c>
      <c r="F24" s="13">
        <f>0</f>
        <v>0</v>
      </c>
      <c r="G24" s="20"/>
      <c r="H24" s="20"/>
    </row>
    <row r="25" spans="1:8">
      <c r="A25" s="17" t="s">
        <v>110</v>
      </c>
      <c r="B25" s="13">
        <f>B23-B24</f>
        <v>0</v>
      </c>
      <c r="C25" s="13">
        <f>C23-C24</f>
        <v>0</v>
      </c>
      <c r="D25" s="18" t="s">
        <v>111</v>
      </c>
      <c r="E25" s="23">
        <v>0</v>
      </c>
      <c r="F25" s="23">
        <v>0</v>
      </c>
      <c r="G25" s="21">
        <f>G17+G20+G21+G22+G23+G24</f>
        <v>0</v>
      </c>
      <c r="H25" s="13">
        <f>H17+H20+H21+H22+H23+H24</f>
        <v>0</v>
      </c>
    </row>
    <row r="26" spans="1:8">
      <c r="A26" s="17" t="s">
        <v>112</v>
      </c>
      <c r="B26" s="13">
        <f>0</f>
        <v>0</v>
      </c>
      <c r="C26" s="13">
        <f>0</f>
        <v>0</v>
      </c>
      <c r="D26" s="14" t="s">
        <v>115</v>
      </c>
      <c r="E26" s="22">
        <f>E22+E23+E24+E25</f>
        <v>0</v>
      </c>
      <c r="F26" s="22">
        <f>F22+F23+F24+F25</f>
        <v>0</v>
      </c>
      <c r="G26" s="21" t="s">
        <v>190</v>
      </c>
      <c r="H26" s="13" t="s">
        <v>10</v>
      </c>
    </row>
    <row r="27" spans="1:8">
      <c r="A27" s="17" t="s">
        <v>116</v>
      </c>
      <c r="B27" s="13">
        <f>0</f>
        <v>0</v>
      </c>
      <c r="C27" s="13">
        <f>0</f>
        <v>0</v>
      </c>
      <c r="D27" s="18" t="s">
        <v>119</v>
      </c>
      <c r="E27" s="24">
        <f>0</f>
        <v>0</v>
      </c>
      <c r="F27" s="24">
        <f>0</f>
        <v>0</v>
      </c>
      <c r="G27" s="13">
        <f t="shared" ref="G27:G33" si="8">0</f>
        <v>0</v>
      </c>
      <c r="H27" s="13">
        <f t="shared" ref="H27:H33" si="9">0</f>
        <v>0</v>
      </c>
    </row>
    <row r="28" spans="1:8">
      <c r="A28" s="17" t="s">
        <v>122</v>
      </c>
      <c r="B28" s="13">
        <f>0</f>
        <v>0</v>
      </c>
      <c r="C28" s="13">
        <f>0</f>
        <v>0</v>
      </c>
      <c r="D28" s="14" t="s">
        <v>125</v>
      </c>
      <c r="E28" s="22">
        <f>E20+E26+E27</f>
        <v>0</v>
      </c>
      <c r="F28" s="22">
        <f>F20+F26+F27</f>
        <v>0</v>
      </c>
      <c r="G28" s="13">
        <f t="shared" si="8"/>
        <v>0</v>
      </c>
      <c r="H28" s="13">
        <f t="shared" si="9"/>
        <v>0</v>
      </c>
    </row>
    <row r="29" spans="1:8">
      <c r="A29" s="17" t="s">
        <v>126</v>
      </c>
      <c r="B29" s="13">
        <f>0</f>
        <v>0</v>
      </c>
      <c r="C29" s="13">
        <f>0</f>
        <v>0</v>
      </c>
      <c r="D29" s="18"/>
      <c r="E29" s="16"/>
      <c r="F29" s="16"/>
      <c r="G29" s="13">
        <f t="shared" si="8"/>
        <v>0</v>
      </c>
      <c r="H29" s="13">
        <f t="shared" si="9"/>
        <v>0</v>
      </c>
    </row>
    <row r="30" spans="1:8">
      <c r="A30" s="17" t="s">
        <v>129</v>
      </c>
      <c r="B30" s="13">
        <f>B28-B29</f>
        <v>0</v>
      </c>
      <c r="C30" s="13">
        <f>C28-C29</f>
        <v>0</v>
      </c>
      <c r="D30" s="18"/>
      <c r="E30" s="13"/>
      <c r="F30" s="13"/>
      <c r="G30" s="13">
        <f t="shared" si="8"/>
        <v>0</v>
      </c>
      <c r="H30" s="13">
        <f t="shared" si="9"/>
        <v>0</v>
      </c>
    </row>
    <row r="31" spans="1:8">
      <c r="A31" s="17" t="s">
        <v>130</v>
      </c>
      <c r="B31" s="13">
        <f>0</f>
        <v>0</v>
      </c>
      <c r="C31" s="13">
        <f>0</f>
        <v>0</v>
      </c>
      <c r="D31" s="18"/>
      <c r="E31" s="13"/>
      <c r="F31" s="13"/>
      <c r="G31" s="13">
        <f t="shared" si="8"/>
        <v>0</v>
      </c>
      <c r="H31" s="13">
        <f t="shared" si="9"/>
        <v>0</v>
      </c>
    </row>
    <row r="32" spans="1:8">
      <c r="A32" s="17" t="s">
        <v>133</v>
      </c>
      <c r="B32" s="13">
        <f>0</f>
        <v>0</v>
      </c>
      <c r="C32" s="13">
        <f>0</f>
        <v>0</v>
      </c>
      <c r="D32" s="18"/>
      <c r="E32" s="13"/>
      <c r="F32" s="13"/>
      <c r="G32" s="13">
        <f t="shared" si="8"/>
        <v>0</v>
      </c>
      <c r="H32" s="13">
        <f t="shared" si="9"/>
        <v>0</v>
      </c>
    </row>
    <row r="33" spans="1:8">
      <c r="A33" s="17" t="s">
        <v>136</v>
      </c>
      <c r="B33" s="13">
        <f>0</f>
        <v>0</v>
      </c>
      <c r="C33" s="13">
        <f>0</f>
        <v>0</v>
      </c>
      <c r="D33" s="18"/>
      <c r="E33" s="13"/>
      <c r="F33" s="13"/>
      <c r="G33" s="13">
        <f t="shared" si="8"/>
        <v>0</v>
      </c>
      <c r="H33" s="13">
        <f t="shared" si="9"/>
        <v>0</v>
      </c>
    </row>
    <row r="34" spans="1:8">
      <c r="A34" s="17" t="s">
        <v>139</v>
      </c>
      <c r="B34" s="13">
        <f>B32-B33</f>
        <v>0</v>
      </c>
      <c r="C34" s="13">
        <f>C32-C33</f>
        <v>0</v>
      </c>
      <c r="D34" s="18"/>
      <c r="E34" s="13"/>
      <c r="F34" s="13"/>
      <c r="G34" s="13" t="s">
        <v>190</v>
      </c>
      <c r="H34" s="13" t="s">
        <v>10</v>
      </c>
    </row>
    <row r="35" spans="1:8">
      <c r="A35" s="17" t="s">
        <v>140</v>
      </c>
      <c r="B35" s="13">
        <f>0</f>
        <v>0</v>
      </c>
      <c r="C35" s="13">
        <f>0</f>
        <v>0</v>
      </c>
      <c r="D35" s="18"/>
      <c r="E35" s="13"/>
      <c r="F35" s="13"/>
      <c r="G35" s="21">
        <f>G27+G28+G29+G30+G31+G32+G33</f>
        <v>0</v>
      </c>
      <c r="H35" s="13">
        <f>H27+H28+H29+H30+H31+H32+H33</f>
        <v>0</v>
      </c>
    </row>
    <row r="36" spans="1:8">
      <c r="A36" s="17" t="s">
        <v>143</v>
      </c>
      <c r="B36" s="13">
        <f>0</f>
        <v>0</v>
      </c>
      <c r="C36" s="13">
        <f>0</f>
        <v>0</v>
      </c>
      <c r="D36" s="18"/>
      <c r="E36" s="13"/>
      <c r="F36" s="13"/>
      <c r="G36" s="21">
        <f>G15+G25+G35</f>
        <v>0</v>
      </c>
      <c r="H36" s="13">
        <f>H15+H25+H35</f>
        <v>0</v>
      </c>
    </row>
    <row r="37" spans="1:8">
      <c r="A37" s="17" t="s">
        <v>146</v>
      </c>
      <c r="B37" s="13">
        <f>0</f>
        <v>0</v>
      </c>
      <c r="C37" s="13">
        <f>0</f>
        <v>0</v>
      </c>
      <c r="D37" s="18"/>
      <c r="E37" s="13"/>
      <c r="F37" s="13"/>
      <c r="G37" s="8"/>
      <c r="H37" s="8"/>
    </row>
    <row r="38" spans="1:8">
      <c r="A38" s="17" t="s">
        <v>149</v>
      </c>
      <c r="B38" s="13">
        <f>0</f>
        <v>0</v>
      </c>
      <c r="C38" s="13">
        <f>0</f>
        <v>0</v>
      </c>
      <c r="D38" s="14" t="s">
        <v>152</v>
      </c>
      <c r="E38" s="13" t="s">
        <v>10</v>
      </c>
      <c r="F38" s="13" t="s">
        <v>10</v>
      </c>
      <c r="G38" s="8" t="s">
        <v>193</v>
      </c>
      <c r="H38" s="8"/>
    </row>
    <row r="39" spans="1:8">
      <c r="A39" s="17" t="s">
        <v>153</v>
      </c>
      <c r="B39" s="13">
        <f>B37-B38</f>
        <v>0</v>
      </c>
      <c r="C39" s="13">
        <f>C37-C38</f>
        <v>0</v>
      </c>
      <c r="D39" s="18" t="s">
        <v>154</v>
      </c>
      <c r="E39" s="13">
        <f>0</f>
        <v>0</v>
      </c>
      <c r="F39" s="13">
        <f>0</f>
        <v>0</v>
      </c>
      <c r="G39" s="8" t="s">
        <v>186</v>
      </c>
      <c r="H39" s="8"/>
    </row>
    <row r="40" spans="1:8">
      <c r="A40" s="17" t="s">
        <v>157</v>
      </c>
      <c r="B40" s="13">
        <f>0</f>
        <v>0</v>
      </c>
      <c r="C40" s="13">
        <f>0</f>
        <v>0</v>
      </c>
      <c r="D40" s="18" t="s">
        <v>160</v>
      </c>
      <c r="E40" s="13">
        <f>0</f>
        <v>0</v>
      </c>
      <c r="F40" s="13">
        <f>0</f>
        <v>0</v>
      </c>
    </row>
    <row r="41" spans="1:8">
      <c r="A41" s="17" t="s">
        <v>163</v>
      </c>
      <c r="B41" s="13">
        <f>0</f>
        <v>0</v>
      </c>
      <c r="C41" s="13">
        <f>0</f>
        <v>0</v>
      </c>
      <c r="D41" s="18" t="s">
        <v>166</v>
      </c>
      <c r="E41" s="13">
        <f>0</f>
        <v>0</v>
      </c>
      <c r="F41" s="13">
        <f>0</f>
        <v>0</v>
      </c>
    </row>
    <row r="42" spans="1:8">
      <c r="A42" s="17" t="s">
        <v>169</v>
      </c>
      <c r="B42" s="13">
        <v>0</v>
      </c>
      <c r="C42" s="13">
        <v>0</v>
      </c>
      <c r="D42" s="18" t="s">
        <v>170</v>
      </c>
      <c r="E42" s="13">
        <f>0</f>
        <v>0</v>
      </c>
      <c r="F42" s="13">
        <f>0</f>
        <v>0</v>
      </c>
    </row>
    <row r="43" spans="1:8">
      <c r="A43" s="12" t="s">
        <v>173</v>
      </c>
      <c r="B43" s="22">
        <f>B21+B22+B25+B26+B27+B30+B31+B34+B35+B36+B39+B40+B41+B42</f>
        <v>0</v>
      </c>
      <c r="C43" s="22">
        <f>C21+C22+C25+C26+C27+C30+C31+C34+C35+C36+C39+C40+C41+C42</f>
        <v>0</v>
      </c>
      <c r="D43" s="18" t="s">
        <v>174</v>
      </c>
      <c r="E43" s="23">
        <f>0</f>
        <v>0</v>
      </c>
      <c r="F43" s="23">
        <f>0</f>
        <v>0</v>
      </c>
    </row>
    <row r="44" spans="1:8">
      <c r="A44" s="17" t="s">
        <v>177</v>
      </c>
      <c r="B44" s="13">
        <f>0</f>
        <v>0</v>
      </c>
      <c r="C44" s="13">
        <f>0</f>
        <v>0</v>
      </c>
      <c r="D44" s="25" t="s">
        <v>180</v>
      </c>
      <c r="E44" s="26">
        <f>E39+E40+E41+E42+E43</f>
        <v>0</v>
      </c>
      <c r="F44" s="26">
        <f>F39+F40+F41+F42+F43</f>
        <v>0</v>
      </c>
    </row>
    <row r="45" ht="14.25" spans="1:8">
      <c r="A45" s="27" t="s">
        <v>181</v>
      </c>
      <c r="B45" s="28">
        <f>B19+B43+B44</f>
        <v>0</v>
      </c>
      <c r="C45" s="28">
        <f>C19+C43+C44</f>
        <v>0</v>
      </c>
      <c r="D45" s="29" t="s">
        <v>182</v>
      </c>
      <c r="E45" s="30">
        <f>E28+E44</f>
        <v>0</v>
      </c>
      <c r="F45" s="30">
        <f>F28+F44</f>
        <v>0</v>
      </c>
    </row>
    <row r="46" ht="14.25" spans="1:8">
      <c r="A46" s="31" t="s">
        <v>183</v>
      </c>
      <c r="B46" s="32"/>
      <c r="C46" s="33"/>
      <c r="D46" s="33"/>
      <c r="E46" s="34"/>
      <c r="F46" s="32"/>
    </row>
    <row r="47" ht="14.25" spans="1:8">
      <c r="A47" s="34" t="s">
        <v>184</v>
      </c>
      <c r="B47" s="32"/>
      <c r="C47" s="33" t="s">
        <v>185</v>
      </c>
      <c r="D47" s="33"/>
      <c r="E47" s="34" t="s">
        <v>186</v>
      </c>
      <c r="F47" s="32"/>
    </row>
    <row r="48" ht="14.25" spans="1:8">
      <c r="A48" s="34"/>
      <c r="B48" s="32"/>
      <c r="C48" s="33"/>
      <c r="D48" s="33"/>
      <c r="E48" s="34"/>
      <c r="F48" s="32"/>
    </row>
  </sheetData>
  <printOptions gridLines="1"/>
  <pageMargins left="0.75" right="0.75" top="1" bottom="1" header="0.5" footer="0.5"/>
  <pageSetup paperSize="9" orientation="portrait" horizontalDpi="180" verticalDpi="180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资产负债表(定义)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罗钧</cp:lastModifiedBy>
  <dcterms:created xsi:type="dcterms:W3CDTF">2026-05-19T09:21:43Z</dcterms:created>
  <dcterms:modified xsi:type="dcterms:W3CDTF">2026-05-19T09:22:20Z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8407C95FC70142F9AE74F9300A0B8404_13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