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55"/>
  </bookViews>
  <sheets>
    <sheet sheetId="1" name="Sheet2" state="visible" r:id="rId4"/>
    <sheet sheetId="2" name="Sheet1" state="visible" r:id="rId5"/>
    <sheet sheetId="3" name="BB000.VTS" state="visible" r:id="rId6"/>
  </sheets>
  <calcPr calcId="171027"/>
</workbook>
</file>

<file path=xl/sharedStrings.xml><?xml version="1.0" encoding="utf-8"?>
<sst xmlns="http://schemas.openxmlformats.org/spreadsheetml/2006/main" count="505" uniqueCount="174">
  <si>
    <t>资  产  负  债  表</t>
  </si>
  <si>
    <t xml:space="preserve">纳税人名称 ：%U                                                                           						</t>
  </si>
  <si>
    <t xml:space="preserve">          %yh%mh%dh</t>
  </si>
  <si>
    <t>会小企01表</t>
  </si>
  <si>
    <t xml:space="preserve">      </t>
  </si>
  <si>
    <t xml:space="preserve">    单位：元</t>
  </si>
  <si>
    <t>资产</t>
  </si>
  <si>
    <t>行次</t>
  </si>
  <si>
    <t>期末余额</t>
  </si>
  <si>
    <t>年初余额</t>
  </si>
  <si>
    <t>负债及所有者权益</t>
  </si>
  <si>
    <t>流动资产：</t>
  </si>
  <si>
    <t>流动负债：</t>
  </si>
  <si>
    <t xml:space="preserve">  货币资金</t>
  </si>
  <si>
    <t>@ye(1001,99)+ye(1002,99)+ye(1012,99)</t>
  </si>
  <si>
    <t>@NC(1001)+NC(1002)+NC(1012)</t>
  </si>
  <si>
    <t xml:space="preserve">  短期借款</t>
  </si>
  <si>
    <t>@ye(2001,99)</t>
  </si>
  <si>
    <t>@NC(2001)</t>
  </si>
  <si>
    <t xml:space="preserve">  短期投资</t>
  </si>
  <si>
    <t>@ye(1101,99)</t>
  </si>
  <si>
    <t>@NC(1101)</t>
  </si>
  <si>
    <t xml:space="preserve">  应付票据</t>
  </si>
  <si>
    <t>@ye(2201,99)</t>
  </si>
  <si>
    <t>@NC(2201)</t>
  </si>
  <si>
    <t xml:space="preserve">  应收票据</t>
  </si>
  <si>
    <t>@ye(1121,99)</t>
  </si>
  <si>
    <t>@NC(1121)</t>
  </si>
  <si>
    <t xml:space="preserve">  应付账款 </t>
  </si>
  <si>
    <t>@YE(2202,99)</t>
  </si>
  <si>
    <t>@NC(2202)</t>
  </si>
  <si>
    <t xml:space="preserve">  应收账款</t>
  </si>
  <si>
    <t>@YE(1122,99)</t>
  </si>
  <si>
    <t>@NC(1122)</t>
  </si>
  <si>
    <t xml:space="preserve">  预收账款</t>
  </si>
  <si>
    <t>@YE(2203,99)</t>
  </si>
  <si>
    <t>@NC(2203)</t>
  </si>
  <si>
    <t xml:space="preserve">  预付账款</t>
  </si>
  <si>
    <t>@YE(1123,99)</t>
  </si>
  <si>
    <t>@NC(1123)</t>
  </si>
  <si>
    <t xml:space="preserve">  应付职工薪酬</t>
  </si>
  <si>
    <t>@ye(2211,99)</t>
  </si>
  <si>
    <t>@NC(2211)</t>
  </si>
  <si>
    <t xml:space="preserve">  应收利息</t>
  </si>
  <si>
    <t>@ye(1132,99)</t>
  </si>
  <si>
    <t>@NC(1132)</t>
  </si>
  <si>
    <t xml:space="preserve">  应交税费</t>
  </si>
  <si>
    <t>@ye(2221,99)</t>
  </si>
  <si>
    <t>@NC(2221)</t>
  </si>
  <si>
    <t xml:space="preserve">  应收股利</t>
  </si>
  <si>
    <t>@ye(1131,99)</t>
  </si>
  <si>
    <t>@NC(1131)</t>
  </si>
  <si>
    <t xml:space="preserve">  应付利息</t>
  </si>
  <si>
    <t>@ye(2231,99)</t>
  </si>
  <si>
    <t>@NC(2231)</t>
  </si>
  <si>
    <t xml:space="preserve">  其他应收款</t>
  </si>
  <si>
    <t>@ye(1221,99)</t>
  </si>
  <si>
    <t>@NC(1221)</t>
  </si>
  <si>
    <t xml:space="preserve">  应付利润</t>
  </si>
  <si>
    <t>@ye(2232,99)</t>
  </si>
  <si>
    <t>@NC(2232)</t>
  </si>
  <si>
    <t xml:space="preserve">  存货</t>
  </si>
  <si>
    <t>@ye(14,99)+ye(4,99)-ye(4301,99)</t>
  </si>
  <si>
    <t>@nc(14)+nc(4)-nc(4301)</t>
  </si>
  <si>
    <t xml:space="preserve">  其他应付款</t>
  </si>
  <si>
    <t>@ye(2241,99)</t>
  </si>
  <si>
    <t>@NC(2241)</t>
  </si>
  <si>
    <t xml:space="preserve">    其中：原材料</t>
  </si>
  <si>
    <t>@ye(1403,99)</t>
  </si>
  <si>
    <t>@nc(1403)</t>
  </si>
  <si>
    <t xml:space="preserve">  其他流动负债</t>
  </si>
  <si>
    <t xml:space="preserve">         在产品</t>
  </si>
  <si>
    <t>@ye(4001,99)+ye(4101,99)</t>
  </si>
  <si>
    <t>@nc(4001)+nc(4101)</t>
  </si>
  <si>
    <t xml:space="preserve">         库存商品</t>
  </si>
  <si>
    <t>@ye(1405,99)</t>
  </si>
  <si>
    <t>@nc(1405)</t>
  </si>
  <si>
    <t>流动负债合计</t>
  </si>
  <si>
    <t xml:space="preserve">         周转材料</t>
  </si>
  <si>
    <t>@ye(1411,99)</t>
  </si>
  <si>
    <t>@nc(1411)</t>
  </si>
  <si>
    <t xml:space="preserve"> </t>
  </si>
  <si>
    <t xml:space="preserve">  其他流动资产</t>
  </si>
  <si>
    <t>流动资产合计</t>
  </si>
  <si>
    <t>非流动资产：</t>
  </si>
  <si>
    <t>非流动负债：</t>
  </si>
  <si>
    <t xml:space="preserve">  长期债券投资</t>
  </si>
  <si>
    <t>@ye(1501,99)</t>
  </si>
  <si>
    <t>@NC(1501)</t>
  </si>
  <si>
    <t xml:space="preserve">  长期借款</t>
  </si>
  <si>
    <t>@ye(2501,99)</t>
  </si>
  <si>
    <t>@NC(2501)</t>
  </si>
  <si>
    <t xml:space="preserve">  长期股权投资</t>
  </si>
  <si>
    <t>@ye(1511,99)</t>
  </si>
  <si>
    <t>@NC(1511)</t>
  </si>
  <si>
    <t xml:space="preserve">  长期应付款</t>
  </si>
  <si>
    <t>@ye(2701,99)</t>
  </si>
  <si>
    <t>@NC(2701)</t>
  </si>
  <si>
    <t xml:space="preserve">  固定资产原价</t>
  </si>
  <si>
    <t>@ye(1601,99)</t>
  </si>
  <si>
    <t>@NC(1601)</t>
  </si>
  <si>
    <t xml:space="preserve">  递延收益</t>
  </si>
  <si>
    <t>@ye(2401,99)</t>
  </si>
  <si>
    <t>@NC(2401)</t>
  </si>
  <si>
    <t xml:space="preserve">  减：累计折旧 </t>
  </si>
  <si>
    <t>@ye(1602,99)</t>
  </si>
  <si>
    <t>@NC(1602)</t>
  </si>
  <si>
    <t xml:space="preserve">  其他非流动负债</t>
  </si>
  <si>
    <t xml:space="preserve">  固定资产账面价值</t>
  </si>
  <si>
    <t xml:space="preserve">  在建工程</t>
  </si>
  <si>
    <t>@ye(1604,99)</t>
  </si>
  <si>
    <t>@NC(1604)</t>
  </si>
  <si>
    <t>非流动负债合计</t>
  </si>
  <si>
    <t xml:space="preserve">  工程物资</t>
  </si>
  <si>
    <t>@ye(1605,99)</t>
  </si>
  <si>
    <t>@NC(1605)</t>
  </si>
  <si>
    <t>负债合计</t>
  </si>
  <si>
    <t xml:space="preserve">  固定资产清理</t>
  </si>
  <si>
    <t>@ye(1606,99)</t>
  </si>
  <si>
    <t>@NC(1606)</t>
  </si>
  <si>
    <t xml:space="preserve">  生产性生物资产</t>
  </si>
  <si>
    <t>@ye(1621,99)-ye(1622,99)</t>
  </si>
  <si>
    <t>@nc(1621)-nc(1622)</t>
  </si>
  <si>
    <t>所有者权益（或股东权益）</t>
  </si>
  <si>
    <t xml:space="preserve">  无形资产</t>
  </si>
  <si>
    <t>@ye(1701,99)-ye(1702,99)</t>
  </si>
  <si>
    <t>@nc(1701)-nc(1702)</t>
  </si>
  <si>
    <t xml:space="preserve">  实收资本（或股本）</t>
  </si>
  <si>
    <t>@ye(3001,99)</t>
  </si>
  <si>
    <t>@NC(3001)</t>
  </si>
  <si>
    <t xml:space="preserve">  开发支出</t>
  </si>
  <si>
    <t>@ye(4301,99)</t>
  </si>
  <si>
    <t>@NC(4301)</t>
  </si>
  <si>
    <t xml:space="preserve">  资本公积</t>
  </si>
  <si>
    <t>@ye(3002,99)</t>
  </si>
  <si>
    <t>@NC(3002)</t>
  </si>
  <si>
    <t xml:space="preserve">  长期待摊费用</t>
  </si>
  <si>
    <t>@ye(1801,99)</t>
  </si>
  <si>
    <t>@NC(1801)</t>
  </si>
  <si>
    <t xml:space="preserve">  盈余公积</t>
  </si>
  <si>
    <t>@ye(3101,99)</t>
  </si>
  <si>
    <t>@NC(3101)</t>
  </si>
  <si>
    <t xml:space="preserve">  待处理财产损溢</t>
  </si>
  <si>
    <t>@ye(1901,99)</t>
  </si>
  <si>
    <t>@NC(1901)</t>
  </si>
  <si>
    <t xml:space="preserve">  未分配利润</t>
  </si>
  <si>
    <t>@ye(3103,99)+ye(3104,99)</t>
  </si>
  <si>
    <t>@NC(3103)+nc(3104)</t>
  </si>
  <si>
    <t>非流动资产合计</t>
  </si>
  <si>
    <t>所有者权益(或股东权益)合计</t>
  </si>
  <si>
    <t>资 产 总 计</t>
  </si>
  <si>
    <t xml:space="preserve">   负债和所有者权益(或股东权益)总计</t>
  </si>
  <si>
    <t>单位负责人:</t>
  </si>
  <si>
    <t>会计主管：</t>
  </si>
  <si>
    <t>审核：</t>
  </si>
  <si>
    <t>制表：</t>
  </si>
  <si>
    <t>µ¥Î»¸ºÔðÈË:</t>
  </si>
  <si>
    <t>»á¼ÆÖ÷¹Ü£º</t>
  </si>
  <si>
    <t>ÉóºË£º</t>
  </si>
  <si>
    <t>ÖÆ±í£º</t>
  </si>
  <si>
    <t>@MDY(2202,99)+MDY(1123,99)</t>
  </si>
  <si>
    <t>@MND(2202)+MND(1123)</t>
  </si>
  <si>
    <t xml:space="preserve">  应收帐款</t>
  </si>
  <si>
    <t>@MJY(1122,99)+MJY(2203,99)</t>
  </si>
  <si>
    <t>@MNJ(1122)+MNJ(2203)</t>
  </si>
  <si>
    <t>@MDY(2203,99)+MDY(1122,99)</t>
  </si>
  <si>
    <t>@MND(2203)+MND(1122)</t>
  </si>
  <si>
    <t>@MJY(1123,99)+MJY(2202,99)</t>
  </si>
  <si>
    <t>@MNJ(1123)+MNJ(2202)</t>
  </si>
  <si>
    <t>@ye(1401,99)+ye(1402,99)+ye(1403,99)+ye(1404,99)+ye(1405,99)+ye(1407,99)+ye(1408,99)+ye(1411,99)+ye(1421,99)+ye(4001,99)+ye(4101,99)+ye(4401,99)</t>
  </si>
  <si>
    <t>@nc(1401)+nc(1402)+nc(1403)+nc(1404)+nc(1405)+nc(1407)+nc(1408)+nc(1411)+nc(1421)+nc(4001)+nc(4101)+nc(4401)</t>
  </si>
  <si>
    <t xml:space="preserve">  ÆäËûÁ÷¶¯×Ê²ú</t>
  </si>
  <si>
    <t xml:space="preserve">  </t>
  </si>
  <si>
    <t xml:space="preserve">  固定资产原值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</si>
</sst>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#"/>
  </numFmts>
  <fonts count="13" x14ac:knownFonts="1">
    <font>
      <color theme="1"/>
      <family val="2"/>
      <scheme val="minor"/>
      <sz val="11"/>
      <name val="Calibri"/>
    </font>
    <font>
      <charset val="134"/>
      <color indexed="8"/>
      <sz val="12"/>
      <name val="宋体"/>
    </font>
    <font>
      <b/>
      <charset val="134"/>
      <sz val="24"/>
      <name val="宋体"/>
    </font>
    <font>
      <charset val="134"/>
      <sz val="11"/>
      <name val="宋体"/>
    </font>
    <font>
      <b/>
      <charset val="134"/>
      <sz val="12"/>
      <name val="宋体"/>
    </font>
    <font>
      <b/>
      <charset val="134"/>
      <sz val="10"/>
      <name val="宋体"/>
    </font>
    <font>
      <charset val="134"/>
      <sz val="12"/>
      <name val="宋体"/>
    </font>
    <font>
      <charset val="134"/>
      <sz val="10"/>
      <name val="宋体"/>
    </font>
    <font>
      <color indexed="8"/>
      <sz val="12"/>
      <name val="Arial"/>
    </font>
    <font>
      <sz val="12"/>
      <name val="宋体"/>
    </font>
    <font>
      <b/>
      <sz val="12"/>
      <name val="Arial"/>
    </font>
    <font>
      <sz val="12"/>
      <name val="Arial"/>
    </font>
    <font>
      <sz val="10"/>
      <name val="宋体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 style="medium"/>
      <top style="thin"/>
      <bottom/>
      <diagonal/>
    </border>
    <border>
      <left/>
      <right style="thin"/>
      <top style="thin"/>
      <bottom/>
      <diagonal/>
    </border>
    <border>
      <left style="medium"/>
      <right style="thin"/>
      <top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0" borderId="6" xfId="0" applyFont="1" applyBorder="1"/>
    <xf numFmtId="164" fontId="7" fillId="0" borderId="7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vertical="center"/>
    </xf>
    <xf numFmtId="164" fontId="7" fillId="0" borderId="9" xfId="0" applyNumberFormat="1" applyFont="1" applyBorder="1" applyAlignment="1">
      <alignment horizontal="right" vertical="center"/>
    </xf>
    <xf numFmtId="0" fontId="8" fillId="0" borderId="10" xfId="0" applyFont="1" applyBorder="1"/>
    <xf numFmtId="0" fontId="7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6" fillId="0" borderId="8" xfId="0" applyFont="1" applyBorder="1"/>
    <xf numFmtId="0" fontId="5" fillId="0" borderId="8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164" fontId="6" fillId="0" borderId="7" xfId="0" applyNumberFormat="1" applyFont="1" applyBorder="1"/>
    <xf numFmtId="164" fontId="6" fillId="0" borderId="9" xfId="0" applyNumberFormat="1" applyFont="1" applyBorder="1"/>
    <xf numFmtId="0" fontId="7" fillId="0" borderId="5" xfId="0" applyFont="1" applyBorder="1"/>
    <xf numFmtId="0" fontId="7" fillId="0" borderId="8" xfId="0" applyFont="1" applyBorder="1"/>
    <xf numFmtId="0" fontId="4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righ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right" vertical="center"/>
    </xf>
    <xf numFmtId="0" fontId="9" fillId="0" borderId="12" xfId="0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Continuous" vertical="center"/>
    </xf>
    <xf numFmtId="0" fontId="8" fillId="0" borderId="0" xfId="0" applyFont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11" fillId="0" borderId="21" xfId="0" applyFont="1" applyBorder="1"/>
    <xf numFmtId="164" fontId="7" fillId="0" borderId="22" xfId="0" applyNumberFormat="1" applyFont="1" applyBorder="1" applyAlignment="1">
      <alignment horizontal="right" vertical="center"/>
    </xf>
    <xf numFmtId="0" fontId="5" fillId="0" borderId="23" xfId="0" applyFont="1" applyBorder="1" applyAlignment="1">
      <alignment vertical="center"/>
    </xf>
    <xf numFmtId="0" fontId="11" fillId="0" borderId="24" xfId="0" applyFont="1" applyBorder="1"/>
    <xf numFmtId="164" fontId="7" fillId="0" borderId="24" xfId="0" applyNumberFormat="1" applyFont="1" applyBorder="1" applyAlignment="1">
      <alignment horizontal="right" vertical="center"/>
    </xf>
    <xf numFmtId="164" fontId="7" fillId="0" borderId="25" xfId="0" applyNumberFormat="1" applyFont="1" applyBorder="1" applyAlignment="1">
      <alignment horizontal="right" vertical="center"/>
    </xf>
    <xf numFmtId="0" fontId="7" fillId="0" borderId="26" xfId="0" applyFont="1" applyBorder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right" vertical="center"/>
    </xf>
    <xf numFmtId="0" fontId="12" fillId="0" borderId="27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164" fontId="7" fillId="0" borderId="28" xfId="0" applyNumberFormat="1" applyFont="1" applyBorder="1" applyAlignment="1">
      <alignment horizontal="right" vertical="center"/>
    </xf>
    <xf numFmtId="164" fontId="7" fillId="0" borderId="29" xfId="0" applyNumberFormat="1" applyFont="1" applyBorder="1" applyAlignment="1">
      <alignment horizontal="right" vertical="center"/>
    </xf>
    <xf numFmtId="164" fontId="7" fillId="0" borderId="30" xfId="0" applyNumberFormat="1" applyFont="1" applyBorder="1" applyAlignment="1">
      <alignment horizontal="right" vertical="center"/>
    </xf>
    <xf numFmtId="164" fontId="5" fillId="0" borderId="6" xfId="0" applyNumberFormat="1" applyFont="1" applyBorder="1" applyAlignment="1">
      <alignment horizontal="right" vertical="center"/>
    </xf>
    <xf numFmtId="164" fontId="5" fillId="0" borderId="9" xfId="0" applyNumberFormat="1" applyFont="1" applyBorder="1" applyAlignment="1">
      <alignment horizontal="right" vertical="center"/>
    </xf>
    <xf numFmtId="164" fontId="5" fillId="0" borderId="30" xfId="0" applyNumberFormat="1" applyFont="1" applyBorder="1" applyAlignment="1">
      <alignment horizontal="right" vertical="center"/>
    </xf>
    <xf numFmtId="164" fontId="5" fillId="0" borderId="24" xfId="0" applyNumberFormat="1" applyFont="1" applyBorder="1" applyAlignment="1">
      <alignment horizontal="right" vertical="center"/>
    </xf>
    <xf numFmtId="0" fontId="5" fillId="0" borderId="31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/>
    <xf numFmtId="0" fontId="7" fillId="0" borderId="23" xfId="0" applyFont="1" applyBorder="1"/>
    <xf numFmtId="0" fontId="5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64" fontId="5" fillId="0" borderId="29" xfId="0" applyNumberFormat="1" applyFont="1" applyBorder="1" applyAlignment="1">
      <alignment horizontal="right" vertical="center"/>
    </xf>
    <xf numFmtId="164" fontId="5" fillId="0" borderId="28" xfId="0" applyNumberFormat="1" applyFont="1" applyBorder="1" applyAlignment="1">
      <alignment horizontal="right" vertical="center"/>
    </xf>
    <xf numFmtId="0" fontId="5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workbookViewId="0" zoomScale="100" zoomScaleNormal="100">
      <selection activeCell="G38" sqref="G38"/>
    </sheetView>
  </sheetViews>
  <sheetFormatPr defaultRowHeight="21" outlineLevelRow="0" outlineLevelCol="0" x14ac:dyDescent="0" defaultColWidth="9.14814814814815" customHeight="1"/>
  <cols>
    <col min="1" max="1" width="21.1111111111111" customWidth="1"/>
    <col min="2" max="2" width="3.44444444444444" customWidth="1"/>
    <col min="3" max="4" width="13" customWidth="1"/>
    <col min="5" max="5" width="21.1111111111111" customWidth="1"/>
    <col min="6" max="6" width="3.33333333333333" customWidth="1"/>
    <col min="7" max="8" width="13" customWidth="1"/>
    <col min="9" max="16384" width="9.14814814814815" customWidth="1"/>
  </cols>
  <sheetData>
    <row r="1" ht="28" customHeight="1" spans="1:8" x14ac:dyDescent="0.25">
      <c r="A1" s="1"/>
      <c r="B1" s="1"/>
      <c r="C1" s="1"/>
      <c r="D1" s="1"/>
      <c r="E1" s="1"/>
      <c r="F1" s="1"/>
      <c r="G1" s="1"/>
      <c r="H1" s="1"/>
    </row>
    <row r="2" ht="21" customHeight="1" spans="1:8" x14ac:dyDescent="0.25">
      <c r="A2" s="2" t="s">
        <v>0</v>
      </c>
      <c r="B2" s="3"/>
      <c r="C2" s="3"/>
      <c r="D2" s="3"/>
      <c r="E2" s="3"/>
      <c r="F2" s="3"/>
      <c r="G2" s="3"/>
      <c r="H2" s="3"/>
    </row>
    <row r="3" ht="21" customHeight="1" spans="1:8" x14ac:dyDescent="0.25">
      <c r="A3" s="4" t="s">
        <v>1</v>
      </c>
      <c r="B3" s="5"/>
      <c r="C3" s="5"/>
      <c r="D3" s="4" t="s">
        <v>2</v>
      </c>
      <c r="E3" s="5"/>
      <c r="F3" s="5"/>
      <c r="G3" s="5"/>
      <c r="H3" s="6" t="s">
        <v>3</v>
      </c>
    </row>
    <row r="4" ht="21" customHeight="1" spans="1:8" x14ac:dyDescent="0.25">
      <c r="A4" s="1" t="s">
        <v>4</v>
      </c>
      <c r="B4" s="1"/>
      <c r="C4" s="1"/>
      <c r="D4" s="1"/>
      <c r="E4" s="1"/>
      <c r="F4" s="1"/>
      <c r="G4" s="1"/>
      <c r="H4" s="6" t="s">
        <v>5</v>
      </c>
    </row>
    <row r="5" ht="21" customHeight="1" spans="1:8" x14ac:dyDescent="0.25">
      <c r="A5" s="7" t="s">
        <v>6</v>
      </c>
      <c r="B5" s="8" t="s">
        <v>7</v>
      </c>
      <c r="C5" s="9" t="s">
        <v>8</v>
      </c>
      <c r="D5" s="9" t="s">
        <v>9</v>
      </c>
      <c r="E5" s="10" t="s">
        <v>10</v>
      </c>
      <c r="F5" s="8" t="s">
        <v>7</v>
      </c>
      <c r="G5" s="9" t="s">
        <v>8</v>
      </c>
      <c r="H5" s="11" t="s">
        <v>9</v>
      </c>
    </row>
    <row r="6" ht="21" customHeight="1" spans="1:9" x14ac:dyDescent="0.25">
      <c r="A6" s="12" t="s">
        <v>11</v>
      </c>
      <c r="B6" s="13"/>
      <c r="C6" s="14"/>
      <c r="D6" s="14"/>
      <c r="E6" s="15" t="s">
        <v>12</v>
      </c>
      <c r="F6" s="13"/>
      <c r="G6" s="14"/>
      <c r="H6" s="16"/>
      <c r="I6" s="17"/>
    </row>
    <row r="7" ht="21" customHeight="1" spans="1:9" x14ac:dyDescent="0.25">
      <c r="A7" s="18" t="s">
        <v>13</v>
      </c>
      <c r="B7" s="19">
        <v>1</v>
      </c>
      <c r="C7" s="14" t="s">
        <v>14</v>
      </c>
      <c r="D7" s="14" t="s">
        <v>15</v>
      </c>
      <c r="E7" s="20" t="s">
        <v>16</v>
      </c>
      <c r="F7" s="19">
        <v>1</v>
      </c>
      <c r="G7" s="14" t="s">
        <v>17</v>
      </c>
      <c r="H7" s="16" t="s">
        <v>18</v>
      </c>
      <c r="I7" s="17"/>
    </row>
    <row r="8" ht="21" customHeight="1" spans="1:9" x14ac:dyDescent="0.25">
      <c r="A8" s="18" t="s">
        <v>19</v>
      </c>
      <c r="B8" s="19">
        <v>2</v>
      </c>
      <c r="C8" s="14" t="s">
        <v>20</v>
      </c>
      <c r="D8" s="14" t="s">
        <v>21</v>
      </c>
      <c r="E8" s="20" t="s">
        <v>22</v>
      </c>
      <c r="F8" s="19">
        <v>2</v>
      </c>
      <c r="G8" s="14" t="s">
        <v>23</v>
      </c>
      <c r="H8" s="16" t="s">
        <v>24</v>
      </c>
      <c r="I8" s="17"/>
    </row>
    <row r="9" ht="21" customHeight="1" spans="1:9" x14ac:dyDescent="0.25">
      <c r="A9" s="18" t="s">
        <v>25</v>
      </c>
      <c r="B9" s="19">
        <v>3</v>
      </c>
      <c r="C9" s="14" t="s">
        <v>26</v>
      </c>
      <c r="D9" s="14" t="s">
        <v>27</v>
      </c>
      <c r="E9" s="20" t="s">
        <v>28</v>
      </c>
      <c r="F9" s="19">
        <v>3</v>
      </c>
      <c r="G9" s="14" t="s">
        <v>29</v>
      </c>
      <c r="H9" s="16" t="s">
        <v>30</v>
      </c>
      <c r="I9" s="17"/>
    </row>
    <row r="10" ht="21" customHeight="1" spans="1:9" x14ac:dyDescent="0.25">
      <c r="A10" s="18" t="s">
        <v>31</v>
      </c>
      <c r="B10" s="19">
        <v>4</v>
      </c>
      <c r="C10" s="14" t="s">
        <v>32</v>
      </c>
      <c r="D10" s="14" t="s">
        <v>33</v>
      </c>
      <c r="E10" s="20" t="s">
        <v>34</v>
      </c>
      <c r="F10" s="19">
        <v>4</v>
      </c>
      <c r="G10" s="14" t="s">
        <v>35</v>
      </c>
      <c r="H10" s="16" t="s">
        <v>36</v>
      </c>
      <c r="I10" s="17"/>
    </row>
    <row r="11" ht="21" customHeight="1" spans="1:9" x14ac:dyDescent="0.25">
      <c r="A11" s="18" t="s">
        <v>37</v>
      </c>
      <c r="B11" s="19">
        <v>5</v>
      </c>
      <c r="C11" s="14" t="s">
        <v>38</v>
      </c>
      <c r="D11" s="14" t="s">
        <v>39</v>
      </c>
      <c r="E11" s="20" t="s">
        <v>40</v>
      </c>
      <c r="F11" s="19">
        <v>5</v>
      </c>
      <c r="G11" s="14" t="s">
        <v>41</v>
      </c>
      <c r="H11" s="16" t="s">
        <v>42</v>
      </c>
      <c r="I11" s="17"/>
    </row>
    <row r="12" ht="21" customHeight="1" spans="1:9" x14ac:dyDescent="0.25">
      <c r="A12" s="18" t="s">
        <v>43</v>
      </c>
      <c r="B12" s="19">
        <v>6</v>
      </c>
      <c r="C12" s="14" t="s">
        <v>44</v>
      </c>
      <c r="D12" s="14" t="s">
        <v>45</v>
      </c>
      <c r="E12" s="20" t="s">
        <v>46</v>
      </c>
      <c r="F12" s="19">
        <v>6</v>
      </c>
      <c r="G12" s="14" t="s">
        <v>47</v>
      </c>
      <c r="H12" s="16" t="s">
        <v>48</v>
      </c>
      <c r="I12" s="17"/>
    </row>
    <row r="13" ht="21" customHeight="1" spans="1:9" x14ac:dyDescent="0.25">
      <c r="A13" s="18" t="s">
        <v>49</v>
      </c>
      <c r="B13" s="19">
        <v>7</v>
      </c>
      <c r="C13" s="14" t="s">
        <v>50</v>
      </c>
      <c r="D13" s="14" t="s">
        <v>51</v>
      </c>
      <c r="E13" s="20" t="s">
        <v>52</v>
      </c>
      <c r="F13" s="19">
        <v>7</v>
      </c>
      <c r="G13" s="14" t="s">
        <v>53</v>
      </c>
      <c r="H13" s="16" t="s">
        <v>54</v>
      </c>
      <c r="I13" s="17"/>
    </row>
    <row r="14" ht="21" customHeight="1" spans="1:9" x14ac:dyDescent="0.25">
      <c r="A14" s="18" t="s">
        <v>55</v>
      </c>
      <c r="B14" s="19">
        <v>8</v>
      </c>
      <c r="C14" s="14" t="s">
        <v>56</v>
      </c>
      <c r="D14" s="14" t="s">
        <v>57</v>
      </c>
      <c r="E14" s="20" t="s">
        <v>58</v>
      </c>
      <c r="F14" s="19">
        <v>8</v>
      </c>
      <c r="G14" s="14" t="s">
        <v>59</v>
      </c>
      <c r="H14" s="16" t="s">
        <v>60</v>
      </c>
      <c r="I14" s="17"/>
    </row>
    <row r="15" ht="21" customHeight="1" spans="1:9" x14ac:dyDescent="0.25">
      <c r="A15" s="18" t="s">
        <v>61</v>
      </c>
      <c r="B15" s="19">
        <v>9</v>
      </c>
      <c r="C15" s="14" t="s">
        <v>62</v>
      </c>
      <c r="D15" s="14" t="s">
        <v>63</v>
      </c>
      <c r="E15" s="20" t="s">
        <v>64</v>
      </c>
      <c r="F15" s="19">
        <v>9</v>
      </c>
      <c r="G15" s="14" t="s">
        <v>65</v>
      </c>
      <c r="H15" s="16" t="s">
        <v>66</v>
      </c>
      <c r="I15" s="17"/>
    </row>
    <row r="16" ht="21" customHeight="1" spans="1:9" x14ac:dyDescent="0.25">
      <c r="A16" s="18" t="s">
        <v>67</v>
      </c>
      <c r="B16" s="19">
        <v>10</v>
      </c>
      <c r="C16" s="14" t="s">
        <v>68</v>
      </c>
      <c r="D16" s="14" t="s">
        <v>69</v>
      </c>
      <c r="E16" s="20" t="s">
        <v>70</v>
      </c>
      <c r="F16" s="19">
        <v>10</v>
      </c>
      <c r="G16" s="14"/>
      <c r="H16" s="16"/>
      <c r="I16" s="17"/>
    </row>
    <row r="17" ht="21" customHeight="1" spans="1:9" x14ac:dyDescent="0.25">
      <c r="A17" s="18" t="s">
        <v>71</v>
      </c>
      <c r="B17" s="19">
        <v>11</v>
      </c>
      <c r="C17" s="14" t="s">
        <v>72</v>
      </c>
      <c r="D17" s="14" t="s">
        <v>73</v>
      </c>
      <c r="E17" s="21"/>
      <c r="F17" s="19">
        <v>11</v>
      </c>
      <c r="G17" s="14"/>
      <c r="H17" s="16"/>
      <c r="I17" s="17"/>
    </row>
    <row r="18" ht="21" customHeight="1" spans="1:9" x14ac:dyDescent="0.25">
      <c r="A18" s="18" t="s">
        <v>74</v>
      </c>
      <c r="B18" s="19">
        <v>12</v>
      </c>
      <c r="C18" s="14" t="s">
        <v>75</v>
      </c>
      <c r="D18" s="14" t="s">
        <v>76</v>
      </c>
      <c r="E18" s="22" t="s">
        <v>77</v>
      </c>
      <c r="F18" s="19">
        <v>12</v>
      </c>
      <c r="G18" s="23">
        <f>SUM(G7:G16)</f>
        <v>0</v>
      </c>
      <c r="H18" s="23">
        <f>SUM(H7:H16)</f>
        <v>0</v>
      </c>
      <c r="I18" s="17"/>
    </row>
    <row r="19" ht="21" customHeight="1" spans="1:9" x14ac:dyDescent="0.25">
      <c r="A19" s="18" t="s">
        <v>78</v>
      </c>
      <c r="B19" s="19">
        <v>13</v>
      </c>
      <c r="C19" s="14" t="s">
        <v>79</v>
      </c>
      <c r="D19" s="14" t="s">
        <v>80</v>
      </c>
      <c r="E19" s="15" t="s">
        <v>81</v>
      </c>
      <c r="F19" s="19">
        <v>13</v>
      </c>
      <c r="G19" s="14"/>
      <c r="H19" s="16"/>
      <c r="I19" s="17"/>
    </row>
    <row r="20" ht="21" customHeight="1" spans="1:9" x14ac:dyDescent="0.25">
      <c r="A20" s="18" t="s">
        <v>82</v>
      </c>
      <c r="B20" s="19">
        <v>14</v>
      </c>
      <c r="C20" s="14"/>
      <c r="D20" s="14"/>
      <c r="E20" s="20" t="s">
        <v>81</v>
      </c>
      <c r="F20" s="19">
        <v>14</v>
      </c>
      <c r="G20" s="14" t="s">
        <v>81</v>
      </c>
      <c r="H20" s="16" t="s">
        <v>81</v>
      </c>
      <c r="I20" s="17"/>
    </row>
    <row r="21" ht="21" customHeight="1" spans="1:9" x14ac:dyDescent="0.25">
      <c r="A21" s="24" t="s">
        <v>83</v>
      </c>
      <c r="B21" s="19">
        <v>15</v>
      </c>
      <c r="C21" s="23" t="e">
        <f>C7+C8+C9+C10+C11+C12+C13+C14+C15+C20</f>
        <v>#VALUE!</v>
      </c>
      <c r="D21" s="23" t="e">
        <f>D7+D8+D9+D10+D11+D12+D13+D14+D15+D20</f>
        <v>#VALUE!</v>
      </c>
      <c r="E21" s="20" t="s">
        <v>81</v>
      </c>
      <c r="F21" s="19">
        <v>15</v>
      </c>
      <c r="G21" s="14" t="s">
        <v>81</v>
      </c>
      <c r="H21" s="16" t="s">
        <v>81</v>
      </c>
      <c r="I21" s="17"/>
    </row>
    <row r="22" ht="21" customHeight="1" spans="1:9" x14ac:dyDescent="0.25">
      <c r="A22" s="12" t="s">
        <v>84</v>
      </c>
      <c r="B22" s="19">
        <v>16</v>
      </c>
      <c r="C22" s="14"/>
      <c r="D22" s="14"/>
      <c r="E22" s="15" t="s">
        <v>85</v>
      </c>
      <c r="F22" s="19">
        <v>16</v>
      </c>
      <c r="G22" s="14"/>
      <c r="H22" s="16"/>
      <c r="I22" s="17"/>
    </row>
    <row r="23" ht="21" customHeight="1" spans="1:9" x14ac:dyDescent="0.25">
      <c r="A23" s="18" t="s">
        <v>86</v>
      </c>
      <c r="B23" s="19">
        <v>17</v>
      </c>
      <c r="C23" s="14" t="s">
        <v>87</v>
      </c>
      <c r="D23" s="14" t="s">
        <v>88</v>
      </c>
      <c r="E23" s="20" t="s">
        <v>89</v>
      </c>
      <c r="F23" s="19">
        <v>17</v>
      </c>
      <c r="G23" s="14" t="s">
        <v>90</v>
      </c>
      <c r="H23" s="16" t="s">
        <v>91</v>
      </c>
      <c r="I23" s="17"/>
    </row>
    <row r="24" ht="21" customHeight="1" spans="1:9" x14ac:dyDescent="0.25">
      <c r="A24" s="18" t="s">
        <v>92</v>
      </c>
      <c r="B24" s="19">
        <v>18</v>
      </c>
      <c r="C24" s="14" t="s">
        <v>93</v>
      </c>
      <c r="D24" s="14" t="s">
        <v>94</v>
      </c>
      <c r="E24" s="20" t="s">
        <v>95</v>
      </c>
      <c r="F24" s="19">
        <v>18</v>
      </c>
      <c r="G24" s="14" t="s">
        <v>96</v>
      </c>
      <c r="H24" s="16" t="s">
        <v>97</v>
      </c>
      <c r="I24" s="17"/>
    </row>
    <row r="25" ht="21" customHeight="1" spans="1:9" x14ac:dyDescent="0.25">
      <c r="A25" s="18" t="s">
        <v>98</v>
      </c>
      <c r="B25" s="19">
        <v>19</v>
      </c>
      <c r="C25" s="14" t="s">
        <v>99</v>
      </c>
      <c r="D25" s="14" t="s">
        <v>100</v>
      </c>
      <c r="E25" s="20" t="s">
        <v>101</v>
      </c>
      <c r="F25" s="19">
        <v>19</v>
      </c>
      <c r="G25" s="14" t="s">
        <v>102</v>
      </c>
      <c r="H25" s="16" t="s">
        <v>103</v>
      </c>
      <c r="I25" s="17"/>
    </row>
    <row r="26" ht="21" customHeight="1" spans="1:9" x14ac:dyDescent="0.25">
      <c r="A26" s="18" t="s">
        <v>104</v>
      </c>
      <c r="B26" s="19">
        <v>20</v>
      </c>
      <c r="C26" s="14" t="s">
        <v>105</v>
      </c>
      <c r="D26" s="14" t="s">
        <v>106</v>
      </c>
      <c r="E26" s="20" t="s">
        <v>107</v>
      </c>
      <c r="F26" s="19">
        <v>20</v>
      </c>
      <c r="G26" s="14"/>
      <c r="H26" s="16"/>
      <c r="I26" s="17"/>
    </row>
    <row r="27" ht="21" customHeight="1" spans="1:9" x14ac:dyDescent="0.25">
      <c r="A27" s="18" t="s">
        <v>108</v>
      </c>
      <c r="B27" s="19">
        <v>21</v>
      </c>
      <c r="C27" s="14" t="e">
        <f>C25-C26</f>
        <v>#VALUE!</v>
      </c>
      <c r="D27" s="14" t="e">
        <f>D25-D26</f>
        <v>#VALUE!</v>
      </c>
      <c r="E27" s="21"/>
      <c r="F27" s="19">
        <v>21</v>
      </c>
      <c r="G27" s="25"/>
      <c r="H27" s="26"/>
      <c r="I27" s="17"/>
    </row>
    <row r="28" ht="21" customHeight="1" spans="1:9" x14ac:dyDescent="0.25">
      <c r="A28" s="18" t="s">
        <v>109</v>
      </c>
      <c r="B28" s="19">
        <v>22</v>
      </c>
      <c r="C28" s="14" t="s">
        <v>110</v>
      </c>
      <c r="D28" s="14" t="s">
        <v>111</v>
      </c>
      <c r="E28" s="22" t="s">
        <v>112</v>
      </c>
      <c r="F28" s="19">
        <v>22</v>
      </c>
      <c r="G28" s="23">
        <f>SUM(G23:G26)</f>
        <v>0</v>
      </c>
      <c r="H28" s="23">
        <f>SUM(H23:H26)</f>
        <v>0</v>
      </c>
      <c r="I28" s="17"/>
    </row>
    <row r="29" ht="21" customHeight="1" spans="1:9" x14ac:dyDescent="0.25">
      <c r="A29" s="18" t="s">
        <v>113</v>
      </c>
      <c r="B29" s="19">
        <v>23</v>
      </c>
      <c r="C29" s="14" t="s">
        <v>114</v>
      </c>
      <c r="D29" s="14" t="s">
        <v>115</v>
      </c>
      <c r="E29" s="22" t="s">
        <v>116</v>
      </c>
      <c r="F29" s="19">
        <v>23</v>
      </c>
      <c r="G29" s="23">
        <f>G18+G28</f>
        <v>0</v>
      </c>
      <c r="H29" s="23">
        <f>H18+H28</f>
        <v>0</v>
      </c>
      <c r="I29" s="17"/>
    </row>
    <row r="30" ht="21" customHeight="1" spans="1:9" x14ac:dyDescent="0.25">
      <c r="A30" s="18" t="s">
        <v>117</v>
      </c>
      <c r="B30" s="19">
        <v>24</v>
      </c>
      <c r="C30" s="14" t="s">
        <v>118</v>
      </c>
      <c r="D30" s="14" t="s">
        <v>119</v>
      </c>
      <c r="E30" s="15" t="s">
        <v>81</v>
      </c>
      <c r="F30" s="19">
        <v>24</v>
      </c>
      <c r="G30" s="14"/>
      <c r="H30" s="16"/>
      <c r="I30" s="17"/>
    </row>
    <row r="31" ht="21" customHeight="1" spans="1:9" x14ac:dyDescent="0.25">
      <c r="A31" s="18" t="s">
        <v>120</v>
      </c>
      <c r="B31" s="19">
        <v>25</v>
      </c>
      <c r="C31" s="14" t="s">
        <v>121</v>
      </c>
      <c r="D31" s="14" t="s">
        <v>122</v>
      </c>
      <c r="E31" s="15" t="s">
        <v>123</v>
      </c>
      <c r="F31" s="19">
        <v>25</v>
      </c>
      <c r="G31" s="14"/>
      <c r="H31" s="16"/>
      <c r="I31" s="17"/>
    </row>
    <row r="32" ht="21" customHeight="1" spans="1:9" x14ac:dyDescent="0.25">
      <c r="A32" s="18" t="s">
        <v>124</v>
      </c>
      <c r="B32" s="19">
        <v>26</v>
      </c>
      <c r="C32" s="14" t="s">
        <v>125</v>
      </c>
      <c r="D32" s="14" t="s">
        <v>126</v>
      </c>
      <c r="E32" s="20" t="s">
        <v>127</v>
      </c>
      <c r="F32" s="19">
        <v>26</v>
      </c>
      <c r="G32" s="14" t="s">
        <v>128</v>
      </c>
      <c r="H32" s="16" t="s">
        <v>129</v>
      </c>
      <c r="I32" s="17"/>
    </row>
    <row r="33" ht="21" customHeight="1" spans="1:9" x14ac:dyDescent="0.25">
      <c r="A33" s="18" t="s">
        <v>130</v>
      </c>
      <c r="B33" s="19">
        <v>27</v>
      </c>
      <c r="C33" s="14" t="s">
        <v>131</v>
      </c>
      <c r="D33" s="14" t="s">
        <v>132</v>
      </c>
      <c r="E33" s="20" t="s">
        <v>133</v>
      </c>
      <c r="F33" s="19">
        <v>27</v>
      </c>
      <c r="G33" s="14" t="s">
        <v>134</v>
      </c>
      <c r="H33" s="16" t="s">
        <v>135</v>
      </c>
      <c r="I33" s="17"/>
    </row>
    <row r="34" ht="21" customHeight="1" spans="1:9" x14ac:dyDescent="0.25">
      <c r="A34" s="18" t="s">
        <v>136</v>
      </c>
      <c r="B34" s="19">
        <v>28</v>
      </c>
      <c r="C34" s="14" t="s">
        <v>137</v>
      </c>
      <c r="D34" s="14" t="s">
        <v>138</v>
      </c>
      <c r="E34" s="20" t="s">
        <v>139</v>
      </c>
      <c r="F34" s="19">
        <v>28</v>
      </c>
      <c r="G34" s="14" t="s">
        <v>140</v>
      </c>
      <c r="H34" s="16" t="s">
        <v>141</v>
      </c>
      <c r="I34" s="17"/>
    </row>
    <row r="35" ht="21" customHeight="1" spans="1:9" x14ac:dyDescent="0.25">
      <c r="A35" s="18" t="s">
        <v>142</v>
      </c>
      <c r="B35" s="19">
        <v>29</v>
      </c>
      <c r="C35" s="14" t="s">
        <v>143</v>
      </c>
      <c r="D35" s="14" t="s">
        <v>144</v>
      </c>
      <c r="E35" s="20" t="s">
        <v>145</v>
      </c>
      <c r="F35" s="19">
        <v>29</v>
      </c>
      <c r="G35" s="14" t="s">
        <v>146</v>
      </c>
      <c r="H35" s="16" t="s">
        <v>147</v>
      </c>
      <c r="I35" s="17"/>
    </row>
    <row r="36" ht="21" customHeight="1" spans="1:9" x14ac:dyDescent="0.25">
      <c r="A36" s="27"/>
      <c r="B36" s="19">
        <v>30</v>
      </c>
      <c r="C36" s="14"/>
      <c r="D36" s="14"/>
      <c r="E36" s="28"/>
      <c r="F36" s="19">
        <v>30</v>
      </c>
      <c r="G36" s="14"/>
      <c r="H36" s="16"/>
      <c r="I36" s="17"/>
    </row>
    <row r="37" ht="21" customHeight="1" spans="1:9" x14ac:dyDescent="0.25">
      <c r="A37" s="24" t="s">
        <v>148</v>
      </c>
      <c r="B37" s="19">
        <v>31</v>
      </c>
      <c r="C37" s="23" t="e">
        <f>C23+C24+C27+C28+C29+C30+C31+C32+C33+C34+C35</f>
        <v>#VALUE!</v>
      </c>
      <c r="D37" s="23" t="e">
        <f>D23+D24+D27+D28+D29+D30+D31+D32+D33+D34+D35</f>
        <v>#VALUE!</v>
      </c>
      <c r="E37" s="22" t="s">
        <v>149</v>
      </c>
      <c r="F37" s="19">
        <v>31</v>
      </c>
      <c r="G37" s="23">
        <f>SUM(G32:G35)</f>
        <v>0</v>
      </c>
      <c r="H37" s="23">
        <f>SUM(H32:H35)</f>
        <v>0</v>
      </c>
      <c r="I37" s="17"/>
    </row>
    <row r="38" ht="21" customHeight="1" spans="1:9" x14ac:dyDescent="0.25">
      <c r="A38" s="29" t="s">
        <v>150</v>
      </c>
      <c r="B38" s="30">
        <v>31</v>
      </c>
      <c r="C38" s="31" t="e">
        <f>C21+C37</f>
        <v>#VALUE!</v>
      </c>
      <c r="D38" s="31" t="e">
        <f>D21+D37</f>
        <v>#VALUE!</v>
      </c>
      <c r="E38" s="32" t="s">
        <v>151</v>
      </c>
      <c r="F38" s="30">
        <v>31</v>
      </c>
      <c r="G38" s="31">
        <f>G37+G29</f>
        <v>0</v>
      </c>
      <c r="H38" s="31">
        <f>H37+H29</f>
        <v>0</v>
      </c>
      <c r="I38" s="17"/>
    </row>
    <row r="39" ht="21" customHeight="1" spans="1:8" x14ac:dyDescent="0.25">
      <c r="A39" s="33"/>
      <c r="B39" s="34"/>
      <c r="C39" s="35"/>
      <c r="D39" s="35"/>
      <c r="E39" s="33"/>
      <c r="F39" s="34"/>
      <c r="G39" s="35"/>
      <c r="H39" s="35"/>
    </row>
    <row r="40" ht="21" customHeight="1" spans="1:8" x14ac:dyDescent="0.25">
      <c r="A40" s="36" t="s">
        <v>152</v>
      </c>
      <c r="B40" s="36"/>
      <c r="C40" s="36" t="s">
        <v>153</v>
      </c>
      <c r="D40" s="36"/>
      <c r="E40" s="36" t="s">
        <v>154</v>
      </c>
      <c r="F40" s="36"/>
      <c r="G40" s="36" t="s">
        <v>155</v>
      </c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</sheetData>
  <printOptions horizontalCentered="1" verticalCentered="1"/>
  <pageMargins left="0.393700787401575" right="0.393700787401575" top="0.393700787401575" bottom="0.393700787401575" header="0" footer="0"/>
  <pageSetup paperSize="9" orientation="portrait" horizontalDpi="600" verticalDpi="6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 zoomScale="100" zoomScaleNormal="100">
      <selection activeCell="A1" sqref="A1"/>
    </sheetView>
  </sheetViews>
  <sheetFormatPr defaultRowHeight="21" outlineLevelRow="0" outlineLevelCol="7" x14ac:dyDescent="0" defaultColWidth="9.14814814814815" customHeight="1"/>
  <cols>
    <col min="1" max="16384" width="9.14814814814815" customWidth="1"/>
  </cols>
  <sheetData>
    <row r="1" ht="28" customHeight="1" spans="1:8" x14ac:dyDescent="0.25">
      <c r="A1" s="1"/>
      <c r="B1" s="1"/>
      <c r="C1" s="1"/>
      <c r="D1" s="1"/>
      <c r="E1" s="1"/>
      <c r="F1" s="1"/>
      <c r="G1" s="1"/>
      <c r="H1" s="1"/>
    </row>
    <row r="2" ht="21" customHeight="1" spans="1:8" x14ac:dyDescent="0.25">
      <c r="A2" s="2" t="s">
        <v>0</v>
      </c>
      <c r="B2" s="3"/>
      <c r="C2" s="3"/>
      <c r="D2" s="3"/>
      <c r="E2" s="3"/>
      <c r="F2" s="3"/>
      <c r="G2" s="3"/>
      <c r="H2" s="3"/>
    </row>
    <row r="3" ht="21" customHeight="1" spans="1:8" x14ac:dyDescent="0.25">
      <c r="A3" s="4" t="s">
        <v>1</v>
      </c>
      <c r="B3" s="5"/>
      <c r="C3" s="5"/>
      <c r="D3" s="4" t="s">
        <v>2</v>
      </c>
      <c r="E3" s="5"/>
      <c r="F3" s="5"/>
      <c r="G3" s="5"/>
      <c r="H3" s="6" t="s">
        <v>3</v>
      </c>
    </row>
    <row r="4" ht="21" customHeight="1" spans="1:8" x14ac:dyDescent="0.25">
      <c r="A4" s="1" t="s">
        <v>4</v>
      </c>
      <c r="B4" s="1"/>
      <c r="C4" s="1"/>
      <c r="D4" s="1"/>
      <c r="E4" s="1"/>
      <c r="F4" s="1"/>
      <c r="G4" s="1"/>
      <c r="H4" s="6" t="s">
        <v>5</v>
      </c>
    </row>
    <row r="5" ht="21" customHeight="1" spans="1:8" x14ac:dyDescent="0.25">
      <c r="A5" s="7" t="s">
        <v>6</v>
      </c>
      <c r="B5" s="8" t="s">
        <v>7</v>
      </c>
      <c r="C5" s="9" t="s">
        <v>8</v>
      </c>
      <c r="D5" s="9" t="s">
        <v>9</v>
      </c>
      <c r="E5" s="10" t="s">
        <v>10</v>
      </c>
      <c r="F5" s="8" t="s">
        <v>7</v>
      </c>
      <c r="G5" s="9" t="s">
        <v>8</v>
      </c>
      <c r="H5" s="11" t="s">
        <v>9</v>
      </c>
    </row>
    <row r="6" ht="21" customHeight="1" spans="1:8" x14ac:dyDescent="0.25">
      <c r="A6" s="12" t="s">
        <v>11</v>
      </c>
      <c r="B6" s="13"/>
      <c r="C6" s="14"/>
      <c r="D6" s="14"/>
      <c r="E6" s="15" t="s">
        <v>12</v>
      </c>
      <c r="F6" s="13"/>
      <c r="G6" s="14"/>
      <c r="H6" s="16"/>
    </row>
    <row r="7" ht="21" customHeight="1" spans="1:8" x14ac:dyDescent="0.25">
      <c r="A7" s="18" t="s">
        <v>13</v>
      </c>
      <c r="B7" s="19">
        <v>1</v>
      </c>
      <c r="C7" s="14" t="s">
        <v>14</v>
      </c>
      <c r="D7" s="14" t="s">
        <v>15</v>
      </c>
      <c r="E7" s="20" t="s">
        <v>16</v>
      </c>
      <c r="F7" s="19">
        <v>31</v>
      </c>
      <c r="G7" s="14" t="s">
        <v>17</v>
      </c>
      <c r="H7" s="16" t="s">
        <v>18</v>
      </c>
    </row>
    <row r="8" ht="21" customHeight="1" spans="1:8" x14ac:dyDescent="0.25">
      <c r="A8" s="18" t="s">
        <v>19</v>
      </c>
      <c r="B8" s="19">
        <v>2</v>
      </c>
      <c r="C8" s="14" t="s">
        <v>20</v>
      </c>
      <c r="D8" s="14" t="s">
        <v>21</v>
      </c>
      <c r="E8" s="20" t="s">
        <v>22</v>
      </c>
      <c r="F8" s="19">
        <v>32</v>
      </c>
      <c r="G8" s="14" t="s">
        <v>23</v>
      </c>
      <c r="H8" s="16" t="s">
        <v>24</v>
      </c>
    </row>
    <row r="9" ht="21" customHeight="1" spans="1:8" x14ac:dyDescent="0.25">
      <c r="A9" s="18" t="s">
        <v>25</v>
      </c>
      <c r="B9" s="19">
        <v>3</v>
      </c>
      <c r="C9" s="14" t="s">
        <v>26</v>
      </c>
      <c r="D9" s="14" t="s">
        <v>27</v>
      </c>
      <c r="E9" s="20" t="s">
        <v>28</v>
      </c>
      <c r="F9" s="19">
        <v>33</v>
      </c>
      <c r="G9" s="14" t="s">
        <v>29</v>
      </c>
      <c r="H9" s="16" t="s">
        <v>30</v>
      </c>
    </row>
    <row r="10" ht="21" customHeight="1" spans="1:8" x14ac:dyDescent="0.25">
      <c r="A10" s="18" t="s">
        <v>31</v>
      </c>
      <c r="B10" s="19">
        <v>4</v>
      </c>
      <c r="C10" s="14" t="s">
        <v>32</v>
      </c>
      <c r="D10" s="14" t="s">
        <v>33</v>
      </c>
      <c r="E10" s="20" t="s">
        <v>34</v>
      </c>
      <c r="F10" s="19">
        <v>34</v>
      </c>
      <c r="G10" s="14" t="s">
        <v>35</v>
      </c>
      <c r="H10" s="16" t="s">
        <v>36</v>
      </c>
    </row>
    <row r="11" ht="21" customHeight="1" spans="1:8" x14ac:dyDescent="0.25">
      <c r="A11" s="18" t="s">
        <v>37</v>
      </c>
      <c r="B11" s="19">
        <v>5</v>
      </c>
      <c r="C11" s="14" t="s">
        <v>38</v>
      </c>
      <c r="D11" s="14" t="s">
        <v>39</v>
      </c>
      <c r="E11" s="20" t="s">
        <v>40</v>
      </c>
      <c r="F11" s="19">
        <v>35</v>
      </c>
      <c r="G11" s="14" t="s">
        <v>41</v>
      </c>
      <c r="H11" s="16" t="s">
        <v>42</v>
      </c>
    </row>
    <row r="12" ht="21" customHeight="1" spans="1:8" x14ac:dyDescent="0.25">
      <c r="A12" s="18" t="s">
        <v>43</v>
      </c>
      <c r="B12" s="19">
        <v>6</v>
      </c>
      <c r="C12" s="14" t="s">
        <v>44</v>
      </c>
      <c r="D12" s="14" t="s">
        <v>45</v>
      </c>
      <c r="E12" s="20" t="s">
        <v>46</v>
      </c>
      <c r="F12" s="19">
        <v>36</v>
      </c>
      <c r="G12" s="14" t="s">
        <v>47</v>
      </c>
      <c r="H12" s="16" t="s">
        <v>48</v>
      </c>
    </row>
    <row r="13" ht="21" customHeight="1" spans="1:8" x14ac:dyDescent="0.25">
      <c r="A13" s="18" t="s">
        <v>49</v>
      </c>
      <c r="B13" s="19">
        <v>7</v>
      </c>
      <c r="C13" s="14" t="s">
        <v>50</v>
      </c>
      <c r="D13" s="14" t="s">
        <v>51</v>
      </c>
      <c r="E13" s="20" t="s">
        <v>52</v>
      </c>
      <c r="F13" s="19">
        <v>37</v>
      </c>
      <c r="G13" s="14" t="s">
        <v>53</v>
      </c>
      <c r="H13" s="16" t="s">
        <v>54</v>
      </c>
    </row>
    <row r="14" ht="21" customHeight="1" spans="1:8" x14ac:dyDescent="0.25">
      <c r="A14" s="18" t="s">
        <v>55</v>
      </c>
      <c r="B14" s="19">
        <v>8</v>
      </c>
      <c r="C14" s="14" t="s">
        <v>56</v>
      </c>
      <c r="D14" s="14" t="s">
        <v>57</v>
      </c>
      <c r="E14" s="20" t="s">
        <v>58</v>
      </c>
      <c r="F14" s="19">
        <v>38</v>
      </c>
      <c r="G14" s="14" t="s">
        <v>59</v>
      </c>
      <c r="H14" s="16" t="s">
        <v>60</v>
      </c>
    </row>
    <row r="15" ht="21" customHeight="1" spans="1:8" x14ac:dyDescent="0.25">
      <c r="A15" s="18" t="s">
        <v>61</v>
      </c>
      <c r="B15" s="19">
        <v>9</v>
      </c>
      <c r="C15" s="14" t="s">
        <v>62</v>
      </c>
      <c r="D15" s="14" t="s">
        <v>63</v>
      </c>
      <c r="E15" s="20" t="s">
        <v>64</v>
      </c>
      <c r="F15" s="19">
        <v>39</v>
      </c>
      <c r="G15" s="14" t="s">
        <v>65</v>
      </c>
      <c r="H15" s="16" t="s">
        <v>66</v>
      </c>
    </row>
    <row r="16" ht="21" customHeight="1" spans="1:8" x14ac:dyDescent="0.25">
      <c r="A16" s="18" t="s">
        <v>67</v>
      </c>
      <c r="B16" s="19">
        <v>10</v>
      </c>
      <c r="C16" s="14" t="s">
        <v>68</v>
      </c>
      <c r="D16" s="14" t="s">
        <v>69</v>
      </c>
      <c r="E16" s="20" t="s">
        <v>70</v>
      </c>
      <c r="F16" s="19">
        <v>40</v>
      </c>
      <c r="G16" s="14"/>
      <c r="H16" s="16"/>
    </row>
    <row r="17" ht="21" customHeight="1" spans="1:8" x14ac:dyDescent="0.25">
      <c r="A17" s="18" t="s">
        <v>71</v>
      </c>
      <c r="B17" s="19">
        <v>11</v>
      </c>
      <c r="C17" s="14" t="s">
        <v>72</v>
      </c>
      <c r="D17" s="14" t="s">
        <v>73</v>
      </c>
      <c r="E17" s="21"/>
      <c r="F17" s="13"/>
      <c r="G17" s="14"/>
      <c r="H17" s="16"/>
    </row>
    <row r="18" ht="21" customHeight="1" spans="1:8" x14ac:dyDescent="0.25">
      <c r="A18" s="18" t="s">
        <v>74</v>
      </c>
      <c r="B18" s="19">
        <v>12</v>
      </c>
      <c r="C18" s="14" t="s">
        <v>75</v>
      </c>
      <c r="D18" s="14" t="s">
        <v>76</v>
      </c>
      <c r="E18" s="22" t="s">
        <v>77</v>
      </c>
      <c r="F18" s="19">
        <v>41</v>
      </c>
      <c r="G18" s="23">
        <f>SUM(G7:G16)</f>
        <v>0</v>
      </c>
      <c r="H18" s="23">
        <f>SUM(H7:H16)</f>
        <v>0</v>
      </c>
    </row>
    <row r="19" ht="21" customHeight="1" spans="1:8" x14ac:dyDescent="0.25">
      <c r="A19" s="18" t="s">
        <v>78</v>
      </c>
      <c r="B19" s="19">
        <v>13</v>
      </c>
      <c r="C19" s="14" t="s">
        <v>79</v>
      </c>
      <c r="D19" s="14" t="s">
        <v>80</v>
      </c>
      <c r="E19" s="15" t="s">
        <v>81</v>
      </c>
      <c r="F19" s="19" t="s">
        <v>81</v>
      </c>
      <c r="G19" s="14"/>
      <c r="H19" s="16"/>
    </row>
    <row r="20" ht="21" customHeight="1" spans="1:8" x14ac:dyDescent="0.25">
      <c r="A20" s="18" t="s">
        <v>82</v>
      </c>
      <c r="B20" s="19">
        <v>14</v>
      </c>
      <c r="C20" s="14"/>
      <c r="D20" s="14"/>
      <c r="E20" s="20" t="s">
        <v>81</v>
      </c>
      <c r="F20" s="19" t="s">
        <v>81</v>
      </c>
      <c r="G20" s="14" t="s">
        <v>81</v>
      </c>
      <c r="H20" s="16" t="s">
        <v>81</v>
      </c>
    </row>
    <row r="21" ht="21" customHeight="1" spans="1:8" x14ac:dyDescent="0.25">
      <c r="A21" s="24" t="s">
        <v>83</v>
      </c>
      <c r="B21" s="19">
        <v>15</v>
      </c>
      <c r="C21" s="23" t="e">
        <f>C7+C8+C9+C10+C11+C12+C13+C14+C15+C20</f>
        <v>#VALUE!</v>
      </c>
      <c r="D21" s="23" t="e">
        <f>D7+D8+D9+D10+D11+D12+D13+D14+D15+D20</f>
        <v>#VALUE!</v>
      </c>
      <c r="E21" s="20" t="s">
        <v>81</v>
      </c>
      <c r="F21" s="19" t="s">
        <v>81</v>
      </c>
      <c r="G21" s="14" t="s">
        <v>81</v>
      </c>
      <c r="H21" s="16" t="s">
        <v>81</v>
      </c>
    </row>
    <row r="22" ht="21" customHeight="1" spans="1:8" x14ac:dyDescent="0.25">
      <c r="A22" s="12" t="s">
        <v>84</v>
      </c>
      <c r="B22" s="19" t="s">
        <v>81</v>
      </c>
      <c r="C22" s="14"/>
      <c r="D22" s="14"/>
      <c r="E22" s="15" t="s">
        <v>85</v>
      </c>
      <c r="F22" s="19" t="s">
        <v>81</v>
      </c>
      <c r="G22" s="14"/>
      <c r="H22" s="16"/>
    </row>
    <row r="23" ht="21" customHeight="1" spans="1:8" x14ac:dyDescent="0.25">
      <c r="A23" s="18" t="s">
        <v>86</v>
      </c>
      <c r="B23" s="19">
        <v>16</v>
      </c>
      <c r="C23" s="14" t="s">
        <v>87</v>
      </c>
      <c r="D23" s="14" t="s">
        <v>88</v>
      </c>
      <c r="E23" s="20" t="s">
        <v>89</v>
      </c>
      <c r="F23" s="19">
        <v>42</v>
      </c>
      <c r="G23" s="14" t="s">
        <v>90</v>
      </c>
      <c r="H23" s="16" t="s">
        <v>91</v>
      </c>
    </row>
    <row r="24" ht="21" customHeight="1" spans="1:8" x14ac:dyDescent="0.25">
      <c r="A24" s="18" t="s">
        <v>92</v>
      </c>
      <c r="B24" s="19">
        <v>17</v>
      </c>
      <c r="C24" s="14" t="s">
        <v>93</v>
      </c>
      <c r="D24" s="14" t="s">
        <v>94</v>
      </c>
      <c r="E24" s="20" t="s">
        <v>95</v>
      </c>
      <c r="F24" s="19">
        <v>43</v>
      </c>
      <c r="G24" s="14" t="s">
        <v>96</v>
      </c>
      <c r="H24" s="16" t="s">
        <v>97</v>
      </c>
    </row>
    <row r="25" ht="21" customHeight="1" spans="1:8" x14ac:dyDescent="0.25">
      <c r="A25" s="18" t="s">
        <v>98</v>
      </c>
      <c r="B25" s="19">
        <v>18</v>
      </c>
      <c r="C25" s="14" t="s">
        <v>99</v>
      </c>
      <c r="D25" s="14" t="s">
        <v>100</v>
      </c>
      <c r="E25" s="20" t="s">
        <v>101</v>
      </c>
      <c r="F25" s="19">
        <v>44</v>
      </c>
      <c r="G25" s="14" t="s">
        <v>102</v>
      </c>
      <c r="H25" s="16" t="s">
        <v>103</v>
      </c>
    </row>
    <row r="26" ht="21" customHeight="1" spans="1:8" x14ac:dyDescent="0.25">
      <c r="A26" s="18" t="s">
        <v>104</v>
      </c>
      <c r="B26" s="19">
        <v>19</v>
      </c>
      <c r="C26" s="14" t="s">
        <v>105</v>
      </c>
      <c r="D26" s="14" t="s">
        <v>106</v>
      </c>
      <c r="E26" s="20" t="s">
        <v>107</v>
      </c>
      <c r="F26" s="19">
        <v>45</v>
      </c>
      <c r="G26" s="14"/>
      <c r="H26" s="16"/>
    </row>
    <row r="27" ht="21" customHeight="1" spans="1:8" x14ac:dyDescent="0.25">
      <c r="A27" s="18" t="s">
        <v>108</v>
      </c>
      <c r="B27" s="19">
        <v>20</v>
      </c>
      <c r="C27" s="14" t="e">
        <f>C25-C26</f>
        <v>#VALUE!</v>
      </c>
      <c r="D27" s="14" t="e">
        <f>D25-D26</f>
        <v>#VALUE!</v>
      </c>
      <c r="E27" s="21"/>
      <c r="F27" s="13"/>
      <c r="G27" s="25"/>
      <c r="H27" s="26"/>
    </row>
    <row r="28" ht="21" customHeight="1" spans="1:8" x14ac:dyDescent="0.25">
      <c r="A28" s="18" t="s">
        <v>109</v>
      </c>
      <c r="B28" s="19">
        <v>21</v>
      </c>
      <c r="C28" s="14" t="s">
        <v>110</v>
      </c>
      <c r="D28" s="14" t="s">
        <v>111</v>
      </c>
      <c r="E28" s="22" t="s">
        <v>112</v>
      </c>
      <c r="F28" s="19">
        <v>46</v>
      </c>
      <c r="G28" s="23">
        <f>SUM(G23:G26)</f>
        <v>0</v>
      </c>
      <c r="H28" s="23">
        <f>SUM(H23:H26)</f>
        <v>0</v>
      </c>
    </row>
    <row r="29" ht="21" customHeight="1" spans="1:8" x14ac:dyDescent="0.25">
      <c r="A29" s="18" t="s">
        <v>113</v>
      </c>
      <c r="B29" s="19">
        <v>22</v>
      </c>
      <c r="C29" s="14" t="s">
        <v>114</v>
      </c>
      <c r="D29" s="14" t="s">
        <v>115</v>
      </c>
      <c r="E29" s="22" t="s">
        <v>116</v>
      </c>
      <c r="F29" s="19">
        <v>47</v>
      </c>
      <c r="G29" s="23">
        <f>G18+G28</f>
        <v>0</v>
      </c>
      <c r="H29" s="23">
        <f>H18+H28</f>
        <v>0</v>
      </c>
    </row>
    <row r="30" ht="21" customHeight="1" spans="1:8" x14ac:dyDescent="0.25">
      <c r="A30" s="18" t="s">
        <v>117</v>
      </c>
      <c r="B30" s="19">
        <v>23</v>
      </c>
      <c r="C30" s="14" t="s">
        <v>118</v>
      </c>
      <c r="D30" s="14" t="s">
        <v>119</v>
      </c>
      <c r="E30" s="15" t="s">
        <v>81</v>
      </c>
      <c r="F30" s="19" t="s">
        <v>81</v>
      </c>
      <c r="G30" s="14"/>
      <c r="H30" s="16"/>
    </row>
    <row r="31" ht="21" customHeight="1" spans="1:8" x14ac:dyDescent="0.25">
      <c r="A31" s="18" t="s">
        <v>120</v>
      </c>
      <c r="B31" s="19">
        <v>24</v>
      </c>
      <c r="C31" s="14" t="s">
        <v>121</v>
      </c>
      <c r="D31" s="14" t="s">
        <v>122</v>
      </c>
      <c r="E31" s="15" t="s">
        <v>123</v>
      </c>
      <c r="F31" s="19" t="s">
        <v>81</v>
      </c>
      <c r="G31" s="14"/>
      <c r="H31" s="16"/>
    </row>
    <row r="32" ht="21" customHeight="1" spans="1:8" x14ac:dyDescent="0.25">
      <c r="A32" s="18" t="s">
        <v>124</v>
      </c>
      <c r="B32" s="19">
        <v>25</v>
      </c>
      <c r="C32" s="14" t="s">
        <v>125</v>
      </c>
      <c r="D32" s="14" t="s">
        <v>126</v>
      </c>
      <c r="E32" s="20" t="s">
        <v>127</v>
      </c>
      <c r="F32" s="19">
        <v>48</v>
      </c>
      <c r="G32" s="14" t="s">
        <v>128</v>
      </c>
      <c r="H32" s="16" t="s">
        <v>129</v>
      </c>
    </row>
    <row r="33" ht="21" customHeight="1" spans="1:8" x14ac:dyDescent="0.25">
      <c r="A33" s="18" t="s">
        <v>130</v>
      </c>
      <c r="B33" s="19">
        <v>26</v>
      </c>
      <c r="C33" s="14" t="s">
        <v>131</v>
      </c>
      <c r="D33" s="14" t="s">
        <v>132</v>
      </c>
      <c r="E33" s="20" t="s">
        <v>133</v>
      </c>
      <c r="F33" s="19">
        <v>49</v>
      </c>
      <c r="G33" s="14" t="s">
        <v>134</v>
      </c>
      <c r="H33" s="16" t="s">
        <v>135</v>
      </c>
    </row>
    <row r="34" ht="21" customHeight="1" spans="1:8" x14ac:dyDescent="0.25">
      <c r="A34" s="18" t="s">
        <v>136</v>
      </c>
      <c r="B34" s="19">
        <v>27</v>
      </c>
      <c r="C34" s="14" t="s">
        <v>137</v>
      </c>
      <c r="D34" s="14" t="s">
        <v>138</v>
      </c>
      <c r="E34" s="20" t="s">
        <v>139</v>
      </c>
      <c r="F34" s="19">
        <v>50</v>
      </c>
      <c r="G34" s="14" t="s">
        <v>140</v>
      </c>
      <c r="H34" s="16" t="s">
        <v>141</v>
      </c>
    </row>
    <row r="35" ht="21" customHeight="1" spans="1:8" x14ac:dyDescent="0.25">
      <c r="A35" s="18" t="s">
        <v>142</v>
      </c>
      <c r="B35" s="19">
        <v>28</v>
      </c>
      <c r="C35" s="14" t="s">
        <v>143</v>
      </c>
      <c r="D35" s="14" t="s">
        <v>144</v>
      </c>
      <c r="E35" s="20" t="s">
        <v>145</v>
      </c>
      <c r="F35" s="19">
        <v>51</v>
      </c>
      <c r="G35" s="14" t="s">
        <v>146</v>
      </c>
      <c r="H35" s="16" t="s">
        <v>147</v>
      </c>
    </row>
    <row r="36" ht="21" customHeight="1" spans="1:8" x14ac:dyDescent="0.25">
      <c r="A36" s="27"/>
      <c r="B36" s="19" t="s">
        <v>81</v>
      </c>
      <c r="C36" s="14"/>
      <c r="D36" s="14"/>
      <c r="E36" s="28"/>
      <c r="F36" s="19" t="s">
        <v>81</v>
      </c>
      <c r="G36" s="14"/>
      <c r="H36" s="16"/>
    </row>
    <row r="37" ht="21" customHeight="1" spans="1:8" x14ac:dyDescent="0.25">
      <c r="A37" s="24" t="s">
        <v>148</v>
      </c>
      <c r="B37" s="19">
        <v>30</v>
      </c>
      <c r="C37" s="23" t="e">
        <f>C23+C24+C27+C28+C29+C30+C31+C32+C33+C34+C35</f>
        <v>#VALUE!</v>
      </c>
      <c r="D37" s="23" t="e">
        <f>D23+D24+D27+D28+D29+D30+D31+D32+D33+D34+D35</f>
        <v>#VALUE!</v>
      </c>
      <c r="E37" s="22" t="s">
        <v>149</v>
      </c>
      <c r="F37" s="19">
        <v>52</v>
      </c>
      <c r="G37" s="23">
        <f>SUM(G32:G35)</f>
        <v>0</v>
      </c>
      <c r="H37" s="23">
        <f>SUM(H32:H35)</f>
        <v>0</v>
      </c>
    </row>
    <row r="38" ht="21" customHeight="1" spans="1:8" x14ac:dyDescent="0.25">
      <c r="A38" s="29" t="s">
        <v>150</v>
      </c>
      <c r="B38" s="30">
        <f>B37+1</f>
        <v>31</v>
      </c>
      <c r="C38" s="31" t="e">
        <f>C21+C37</f>
        <v>#VALUE!</v>
      </c>
      <c r="D38" s="31" t="e">
        <f>D21+D37</f>
        <v>#VALUE!</v>
      </c>
      <c r="E38" s="32" t="s">
        <v>151</v>
      </c>
      <c r="F38" s="30">
        <v>53</v>
      </c>
      <c r="G38" s="31">
        <f>G37+G29</f>
        <v>0</v>
      </c>
      <c r="H38" s="31">
        <f>H37+H29</f>
        <v>0</v>
      </c>
    </row>
    <row r="39" ht="21" customHeight="1" spans="1:8" x14ac:dyDescent="0.25">
      <c r="A39" s="33"/>
      <c r="B39" s="34"/>
      <c r="C39" s="35"/>
      <c r="D39" s="35"/>
      <c r="E39" s="33"/>
      <c r="F39" s="34"/>
      <c r="G39" s="35"/>
      <c r="H39" s="35"/>
    </row>
    <row r="40" ht="21" customHeight="1" spans="1:8" x14ac:dyDescent="0.25">
      <c r="A40" s="36" t="s">
        <v>152</v>
      </c>
      <c r="B40" s="36"/>
      <c r="C40" s="36" t="s">
        <v>153</v>
      </c>
      <c r="D40" s="36"/>
      <c r="E40" s="36" t="s">
        <v>154</v>
      </c>
      <c r="F40" s="36"/>
      <c r="G40" s="36" t="s">
        <v>155</v>
      </c>
      <c r="H40" s="1"/>
    </row>
    <row r="41" ht="21" customHeight="1" spans="1:8" x14ac:dyDescent="0.25">
      <c r="A41" s="1"/>
      <c r="B41" s="1"/>
      <c r="C41" s="1"/>
      <c r="D41" s="1"/>
      <c r="E41" s="1"/>
      <c r="F41" s="1"/>
      <c r="G41" s="1"/>
      <c r="H41" s="1"/>
    </row>
    <row r="42" ht="21" customHeight="1" spans="1:8" x14ac:dyDescent="0.25">
      <c r="A42" s="29" t="s">
        <v>150</v>
      </c>
      <c r="B42" s="37">
        <f>B41+1</f>
        <v>1</v>
      </c>
      <c r="C42" s="38" t="e">
        <f>C21+C41</f>
        <v>#VALUE!</v>
      </c>
      <c r="D42" s="31" t="e">
        <f>D21+D41</f>
        <v>#VALUE!</v>
      </c>
      <c r="E42" s="32" t="s">
        <v>151</v>
      </c>
      <c r="F42" s="39">
        <f>F41+1</f>
        <v>1</v>
      </c>
      <c r="G42" s="38">
        <f>G31+G41</f>
        <v>0</v>
      </c>
      <c r="H42" s="40">
        <f>H31+H41</f>
        <v>0</v>
      </c>
    </row>
    <row r="43" ht="21" customHeight="1" spans="1:8" x14ac:dyDescent="0.25">
      <c r="A43" s="33"/>
      <c r="B43" s="41"/>
      <c r="C43" s="42"/>
      <c r="D43" s="42"/>
      <c r="E43" s="33"/>
      <c r="F43" s="41"/>
      <c r="G43" s="42"/>
      <c r="H43" s="42"/>
    </row>
    <row r="44" ht="21" customHeight="1" spans="1:7" x14ac:dyDescent="0.25">
      <c r="A44" s="43" t="s">
        <v>156</v>
      </c>
      <c r="B44" s="43"/>
      <c r="C44" s="43" t="s">
        <v>157</v>
      </c>
      <c r="D44" s="43"/>
      <c r="E44" s="43" t="s">
        <v>158</v>
      </c>
      <c r="F44" s="43"/>
      <c r="G44" s="43" t="s">
        <v>159</v>
      </c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workbookViewId="0" zoomScale="100" zoomScaleNormal="100">
      <selection activeCell="A1" sqref="A1"/>
    </sheetView>
  </sheetViews>
  <sheetFormatPr defaultRowHeight="21" outlineLevelRow="0" outlineLevelCol="0" x14ac:dyDescent="0" defaultColWidth="9.14814814814815" customHeight="1"/>
  <cols>
    <col min="1" max="16384" width="9.14814814814815" customWidth="1"/>
  </cols>
  <sheetData>
    <row r="1" ht="28" customHeight="1" spans="9:21" x14ac:dyDescent="0.25"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ht="21" customHeight="1" spans="1:21" x14ac:dyDescent="0.25">
      <c r="A2" s="2" t="s">
        <v>0</v>
      </c>
      <c r="B2" s="45"/>
      <c r="C2" s="45"/>
      <c r="D2" s="45"/>
      <c r="E2" s="45"/>
      <c r="F2" s="45"/>
      <c r="G2" s="45"/>
      <c r="H2" s="45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ht="21" customHeight="1" spans="1:20" x14ac:dyDescent="0.25">
      <c r="A3" s="4" t="s">
        <v>1</v>
      </c>
      <c r="B3" s="46"/>
      <c r="C3" s="46"/>
      <c r="D3" s="4" t="s">
        <v>2</v>
      </c>
      <c r="E3" s="46"/>
      <c r="F3" s="46"/>
      <c r="G3" s="46"/>
      <c r="H3" s="6" t="s">
        <v>3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</row>
    <row r="4" ht="21" customHeight="1" spans="1:20" x14ac:dyDescent="0.25">
      <c r="A4" t="s">
        <v>4</v>
      </c>
      <c r="H4" s="6" t="s">
        <v>5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ht="21" customHeight="1" spans="1:20" x14ac:dyDescent="0.25">
      <c r="A5" s="7" t="s">
        <v>6</v>
      </c>
      <c r="B5" s="47" t="s">
        <v>7</v>
      </c>
      <c r="C5" s="10" t="s">
        <v>8</v>
      </c>
      <c r="D5" s="10" t="s">
        <v>9</v>
      </c>
      <c r="E5" s="10" t="s">
        <v>10</v>
      </c>
      <c r="F5" s="8" t="s">
        <v>7</v>
      </c>
      <c r="G5" s="48" t="s">
        <v>8</v>
      </c>
      <c r="H5" s="49" t="s">
        <v>9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</row>
    <row r="6" ht="21" customHeight="1" spans="1:20" x14ac:dyDescent="0.25">
      <c r="A6" s="50" t="s">
        <v>11</v>
      </c>
      <c r="B6" s="51"/>
      <c r="C6" s="52"/>
      <c r="D6" s="52"/>
      <c r="E6" s="53" t="s">
        <v>12</v>
      </c>
      <c r="F6" s="54"/>
      <c r="G6" s="55"/>
      <c r="H6" s="56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</row>
    <row r="7" ht="21" customHeight="1" spans="1:20" x14ac:dyDescent="0.25">
      <c r="A7" s="57" t="s">
        <v>13</v>
      </c>
      <c r="B7" s="58">
        <v>1</v>
      </c>
      <c r="C7" s="14" t="s">
        <v>14</v>
      </c>
      <c r="D7" s="14" t="s">
        <v>15</v>
      </c>
      <c r="E7" s="20" t="s">
        <v>16</v>
      </c>
      <c r="F7" s="59">
        <v>35</v>
      </c>
      <c r="G7" s="60" t="s">
        <v>17</v>
      </c>
      <c r="H7" s="16" t="s">
        <v>18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</row>
    <row r="8" ht="21" customHeight="1" spans="1:20" x14ac:dyDescent="0.25">
      <c r="A8" s="18" t="s">
        <v>19</v>
      </c>
      <c r="B8" s="58">
        <f t="shared" ref="B8:B40" si="0">B7+1</f>
        <v>2</v>
      </c>
      <c r="C8" s="14" t="s">
        <v>20</v>
      </c>
      <c r="D8" s="14" t="s">
        <v>21</v>
      </c>
      <c r="E8" s="20" t="s">
        <v>22</v>
      </c>
      <c r="F8" s="59">
        <f t="shared" ref="F8:F40" si="1">F7+1</f>
        <v>36</v>
      </c>
      <c r="G8" s="60" t="s">
        <v>23</v>
      </c>
      <c r="H8" s="16" t="s">
        <v>24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</row>
    <row r="9" ht="21" customHeight="1" spans="1:20" x14ac:dyDescent="0.25">
      <c r="A9" s="18" t="s">
        <v>25</v>
      </c>
      <c r="B9" s="58">
        <f t="shared" si="0"/>
        <v>3</v>
      </c>
      <c r="C9" s="14" t="s">
        <v>26</v>
      </c>
      <c r="D9" s="14" t="s">
        <v>27</v>
      </c>
      <c r="E9" s="20" t="s">
        <v>28</v>
      </c>
      <c r="F9" s="59">
        <f t="shared" si="1"/>
        <v>37</v>
      </c>
      <c r="G9" s="60" t="s">
        <v>160</v>
      </c>
      <c r="H9" s="16" t="s">
        <v>161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</row>
    <row r="10" ht="21" customHeight="1" spans="1:20" x14ac:dyDescent="0.25">
      <c r="A10" s="18" t="s">
        <v>162</v>
      </c>
      <c r="B10" s="58">
        <f t="shared" si="0"/>
        <v>4</v>
      </c>
      <c r="C10" s="14" t="s">
        <v>163</v>
      </c>
      <c r="D10" s="14" t="s">
        <v>164</v>
      </c>
      <c r="E10" s="20" t="s">
        <v>34</v>
      </c>
      <c r="F10" s="59">
        <f t="shared" si="1"/>
        <v>38</v>
      </c>
      <c r="G10" s="60" t="s">
        <v>165</v>
      </c>
      <c r="H10" s="16" t="s">
        <v>166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</row>
    <row r="11" ht="21" customHeight="1" spans="1:20" x14ac:dyDescent="0.25">
      <c r="A11" s="18" t="s">
        <v>37</v>
      </c>
      <c r="B11" s="58">
        <f t="shared" si="0"/>
        <v>5</v>
      </c>
      <c r="C11" s="14" t="s">
        <v>167</v>
      </c>
      <c r="D11" s="14" t="s">
        <v>168</v>
      </c>
      <c r="E11" s="20" t="s">
        <v>40</v>
      </c>
      <c r="F11" s="59">
        <f t="shared" si="1"/>
        <v>39</v>
      </c>
      <c r="G11" s="60" t="s">
        <v>41</v>
      </c>
      <c r="H11" s="16" t="s">
        <v>42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</row>
    <row r="12" ht="21" customHeight="1" spans="1:20" x14ac:dyDescent="0.25">
      <c r="A12" s="18" t="s">
        <v>43</v>
      </c>
      <c r="B12" s="58">
        <f t="shared" si="0"/>
        <v>6</v>
      </c>
      <c r="C12" s="14" t="s">
        <v>44</v>
      </c>
      <c r="D12" s="14" t="s">
        <v>45</v>
      </c>
      <c r="E12" s="20" t="s">
        <v>46</v>
      </c>
      <c r="F12" s="59">
        <f t="shared" si="1"/>
        <v>40</v>
      </c>
      <c r="G12" s="60" t="s">
        <v>47</v>
      </c>
      <c r="H12" s="16" t="s">
        <v>48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</row>
    <row r="13" ht="21" customHeight="1" spans="1:20" x14ac:dyDescent="0.25">
      <c r="A13" s="18" t="s">
        <v>49</v>
      </c>
      <c r="B13" s="58">
        <f t="shared" si="0"/>
        <v>7</v>
      </c>
      <c r="C13" s="14" t="s">
        <v>50</v>
      </c>
      <c r="D13" s="14" t="s">
        <v>51</v>
      </c>
      <c r="E13" s="20" t="s">
        <v>52</v>
      </c>
      <c r="F13" s="59">
        <f t="shared" si="1"/>
        <v>41</v>
      </c>
      <c r="G13" s="60" t="s">
        <v>53</v>
      </c>
      <c r="H13" s="16" t="s">
        <v>54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</row>
    <row r="14" ht="21" customHeight="1" spans="1:20" x14ac:dyDescent="0.25">
      <c r="A14" s="18" t="s">
        <v>55</v>
      </c>
      <c r="B14" s="58">
        <f t="shared" si="0"/>
        <v>8</v>
      </c>
      <c r="C14" s="14" t="s">
        <v>56</v>
      </c>
      <c r="D14" s="14" t="s">
        <v>57</v>
      </c>
      <c r="E14" s="20" t="s">
        <v>58</v>
      </c>
      <c r="F14" s="59">
        <f t="shared" si="1"/>
        <v>42</v>
      </c>
      <c r="G14" s="60" t="s">
        <v>59</v>
      </c>
      <c r="H14" s="16" t="s">
        <v>60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5" ht="21" customHeight="1" spans="1:20" x14ac:dyDescent="0.25">
      <c r="A15" s="57" t="s">
        <v>61</v>
      </c>
      <c r="B15" s="58">
        <f t="shared" si="0"/>
        <v>9</v>
      </c>
      <c r="C15" s="14" t="s">
        <v>169</v>
      </c>
      <c r="D15" s="14" t="s">
        <v>170</v>
      </c>
      <c r="E15" s="20" t="s">
        <v>64</v>
      </c>
      <c r="F15" s="59">
        <f t="shared" si="1"/>
        <v>43</v>
      </c>
      <c r="G15" s="60" t="s">
        <v>65</v>
      </c>
      <c r="H15" s="16" t="s">
        <v>66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</row>
    <row r="16" ht="21" customHeight="1" spans="1:20" x14ac:dyDescent="0.25">
      <c r="A16" s="61" t="s">
        <v>171</v>
      </c>
      <c r="B16" s="58">
        <f t="shared" si="0"/>
        <v>10</v>
      </c>
      <c r="C16" s="14"/>
      <c r="D16" s="14"/>
      <c r="E16" s="20" t="s">
        <v>70</v>
      </c>
      <c r="F16" s="59">
        <f t="shared" si="1"/>
        <v>44</v>
      </c>
      <c r="G16" s="60"/>
      <c r="H16" s="16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</row>
    <row r="17" ht="21" customHeight="1" spans="1:20" x14ac:dyDescent="0.25">
      <c r="A17" s="62" t="s">
        <v>172</v>
      </c>
      <c r="B17" s="58">
        <f t="shared" si="0"/>
        <v>11</v>
      </c>
      <c r="C17" s="14"/>
      <c r="D17" s="14"/>
      <c r="E17" s="20" t="s">
        <v>172</v>
      </c>
      <c r="F17" s="59">
        <f t="shared" si="1"/>
        <v>45</v>
      </c>
      <c r="G17" s="60"/>
      <c r="H17" s="16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</row>
    <row r="18" ht="21" customHeight="1" spans="1:20" x14ac:dyDescent="0.25">
      <c r="A18" s="18"/>
      <c r="B18" s="58">
        <f t="shared" si="0"/>
        <v>12</v>
      </c>
      <c r="C18" s="63"/>
      <c r="D18" s="63"/>
      <c r="E18" s="20" t="s">
        <v>172</v>
      </c>
      <c r="F18" s="59">
        <f t="shared" si="1"/>
        <v>46</v>
      </c>
      <c r="G18" s="64"/>
      <c r="H18" s="65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</row>
    <row r="19" ht="21" customHeight="1" spans="1:20" x14ac:dyDescent="0.25">
      <c r="A19" s="24" t="s">
        <v>83</v>
      </c>
      <c r="B19" s="58">
        <f t="shared" si="0"/>
        <v>13</v>
      </c>
      <c r="C19" s="66" t="e">
        <f>C7+C8+C9+C10+C11+C12+C13+C14+C15+C16</f>
        <v>#VALUE!</v>
      </c>
      <c r="D19" s="23" t="e">
        <f>D7+D8+D9+D10+D11+D12+D13+D14+D15+D16</f>
        <v>#VALUE!</v>
      </c>
      <c r="E19" s="22" t="s">
        <v>77</v>
      </c>
      <c r="F19" s="59">
        <f t="shared" si="1"/>
        <v>47</v>
      </c>
      <c r="G19" s="66" t="e">
        <f>G7+G8+G9+G10+G11+G12+G13+G14+G15+G16</f>
        <v>#VALUE!</v>
      </c>
      <c r="H19" s="67" t="e">
        <f>H7+H8+H9+H10+H11+H12+H13+H14+H15+H16</f>
        <v>#VALUE!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</row>
    <row r="20" ht="21" customHeight="1" spans="1:20" x14ac:dyDescent="0.25">
      <c r="A20" s="12" t="s">
        <v>84</v>
      </c>
      <c r="B20" s="58">
        <f t="shared" si="0"/>
        <v>14</v>
      </c>
      <c r="C20" s="52"/>
      <c r="D20" s="52"/>
      <c r="E20" s="15" t="s">
        <v>85</v>
      </c>
      <c r="F20" s="59">
        <f t="shared" si="1"/>
        <v>48</v>
      </c>
      <c r="G20" s="55"/>
      <c r="H20" s="56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</row>
    <row r="21" ht="21" customHeight="1" spans="1:20" x14ac:dyDescent="0.25">
      <c r="A21" s="18" t="s">
        <v>86</v>
      </c>
      <c r="B21" s="58">
        <f t="shared" si="0"/>
        <v>15</v>
      </c>
      <c r="C21" s="14" t="s">
        <v>87</v>
      </c>
      <c r="D21" s="14" t="s">
        <v>88</v>
      </c>
      <c r="E21" s="20" t="s">
        <v>89</v>
      </c>
      <c r="F21" s="59">
        <f t="shared" si="1"/>
        <v>49</v>
      </c>
      <c r="G21" s="60" t="s">
        <v>90</v>
      </c>
      <c r="H21" s="16" t="s">
        <v>91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</row>
    <row r="22" ht="21" customHeight="1" spans="1:20" x14ac:dyDescent="0.25">
      <c r="A22" s="18" t="s">
        <v>92</v>
      </c>
      <c r="B22" s="58">
        <f t="shared" si="0"/>
        <v>16</v>
      </c>
      <c r="C22" s="14" t="s">
        <v>93</v>
      </c>
      <c r="D22" s="14" t="s">
        <v>94</v>
      </c>
      <c r="E22" s="20" t="s">
        <v>95</v>
      </c>
      <c r="F22" s="59">
        <f t="shared" si="1"/>
        <v>50</v>
      </c>
      <c r="G22" s="60" t="s">
        <v>96</v>
      </c>
      <c r="H22" s="16" t="s">
        <v>97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</row>
    <row r="23" ht="21" customHeight="1" spans="1:20" x14ac:dyDescent="0.25">
      <c r="A23" s="18" t="s">
        <v>173</v>
      </c>
      <c r="B23" s="58">
        <f t="shared" si="0"/>
        <v>17</v>
      </c>
      <c r="C23" s="14" t="s">
        <v>99</v>
      </c>
      <c r="D23" s="14" t="s">
        <v>100</v>
      </c>
      <c r="E23" s="20" t="s">
        <v>101</v>
      </c>
      <c r="F23" s="59">
        <f t="shared" si="1"/>
        <v>51</v>
      </c>
      <c r="G23" s="60" t="s">
        <v>102</v>
      </c>
      <c r="H23" s="16" t="s">
        <v>103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 ht="21" customHeight="1" spans="1:8" x14ac:dyDescent="0.25">
      <c r="A24" s="18" t="s">
        <v>104</v>
      </c>
      <c r="B24" s="58">
        <f t="shared" si="0"/>
        <v>18</v>
      </c>
      <c r="C24" s="14" t="s">
        <v>105</v>
      </c>
      <c r="D24" s="14" t="s">
        <v>106</v>
      </c>
      <c r="E24" s="20" t="s">
        <v>107</v>
      </c>
      <c r="F24" s="59">
        <f t="shared" si="1"/>
        <v>52</v>
      </c>
      <c r="G24" s="60"/>
      <c r="H24" s="16"/>
    </row>
    <row r="25" ht="21" customHeight="1" spans="1:8" x14ac:dyDescent="0.25">
      <c r="A25" s="18" t="s">
        <v>108</v>
      </c>
      <c r="B25" s="58">
        <f t="shared" si="0"/>
        <v>19</v>
      </c>
      <c r="C25" s="14" t="e">
        <f>C23-C24</f>
        <v>#VALUE!</v>
      </c>
      <c r="D25" s="14" t="e">
        <f>D23-D24</f>
        <v>#VALUE!</v>
      </c>
      <c r="E25" s="20"/>
      <c r="F25" s="59">
        <f t="shared" si="1"/>
        <v>53</v>
      </c>
      <c r="G25" s="60"/>
      <c r="H25" s="16"/>
    </row>
    <row r="26" ht="21" customHeight="1" spans="1:8" x14ac:dyDescent="0.25">
      <c r="A26" s="18" t="s">
        <v>109</v>
      </c>
      <c r="B26" s="58">
        <f t="shared" si="0"/>
        <v>20</v>
      </c>
      <c r="C26" s="14" t="s">
        <v>110</v>
      </c>
      <c r="D26" s="14" t="s">
        <v>111</v>
      </c>
      <c r="E26" s="20" t="s">
        <v>81</v>
      </c>
      <c r="F26" s="59">
        <f t="shared" si="1"/>
        <v>54</v>
      </c>
      <c r="G26" s="60"/>
      <c r="H26" s="16"/>
    </row>
    <row r="27" ht="21" customHeight="1" spans="1:8" x14ac:dyDescent="0.25">
      <c r="A27" s="18" t="s">
        <v>113</v>
      </c>
      <c r="B27" s="58">
        <f t="shared" si="0"/>
        <v>21</v>
      </c>
      <c r="C27" s="14" t="s">
        <v>114</v>
      </c>
      <c r="D27" s="14" t="s">
        <v>115</v>
      </c>
      <c r="E27" s="20" t="s">
        <v>81</v>
      </c>
      <c r="F27" s="59">
        <f t="shared" si="1"/>
        <v>55</v>
      </c>
      <c r="G27" s="64"/>
      <c r="H27" s="65"/>
    </row>
    <row r="28" ht="21" customHeight="1" spans="1:8" x14ac:dyDescent="0.25">
      <c r="A28" s="18" t="s">
        <v>117</v>
      </c>
      <c r="B28" s="58">
        <f t="shared" si="0"/>
        <v>22</v>
      </c>
      <c r="C28" s="14" t="s">
        <v>118</v>
      </c>
      <c r="D28" s="14" t="s">
        <v>119</v>
      </c>
      <c r="E28" s="22" t="s">
        <v>112</v>
      </c>
      <c r="F28" s="59">
        <f t="shared" si="1"/>
        <v>56</v>
      </c>
      <c r="G28" s="66" t="e">
        <f>G21+G22+G23+G24</f>
        <v>#VALUE!</v>
      </c>
      <c r="H28" s="68" t="e">
        <f>H21+H22+H23+H24</f>
        <v>#VALUE!</v>
      </c>
    </row>
    <row r="29" ht="21" customHeight="1" spans="1:8" x14ac:dyDescent="0.25">
      <c r="A29" s="18" t="s">
        <v>120</v>
      </c>
      <c r="B29" s="58">
        <f t="shared" si="0"/>
        <v>23</v>
      </c>
      <c r="C29" s="14" t="s">
        <v>121</v>
      </c>
      <c r="D29" s="14" t="s">
        <v>122</v>
      </c>
      <c r="E29" s="22" t="s">
        <v>116</v>
      </c>
      <c r="F29" s="59">
        <f t="shared" si="1"/>
        <v>57</v>
      </c>
      <c r="G29" s="69" t="e">
        <f>G19+G28</f>
        <v>#VALUE!</v>
      </c>
      <c r="H29" s="67" t="e">
        <f>H19+H28</f>
        <v>#VALUE!</v>
      </c>
    </row>
    <row r="30" ht="21" customHeight="1" spans="1:8" x14ac:dyDescent="0.25">
      <c r="A30" s="18" t="s">
        <v>124</v>
      </c>
      <c r="B30" s="58">
        <f t="shared" si="0"/>
        <v>24</v>
      </c>
      <c r="C30" s="14" t="s">
        <v>125</v>
      </c>
      <c r="D30" s="14" t="s">
        <v>126</v>
      </c>
      <c r="E30" s="20"/>
      <c r="F30" s="59">
        <f t="shared" si="1"/>
        <v>58</v>
      </c>
      <c r="G30" s="55" t="s">
        <v>81</v>
      </c>
      <c r="H30" s="56" t="s">
        <v>81</v>
      </c>
    </row>
    <row r="31" ht="21" customHeight="1" spans="1:8" x14ac:dyDescent="0.25">
      <c r="A31" s="18" t="s">
        <v>130</v>
      </c>
      <c r="B31" s="58">
        <f t="shared" si="0"/>
        <v>25</v>
      </c>
      <c r="C31" s="14" t="s">
        <v>131</v>
      </c>
      <c r="D31" s="14" t="s">
        <v>132</v>
      </c>
      <c r="E31" s="70" t="s">
        <v>123</v>
      </c>
      <c r="F31" s="59">
        <f t="shared" si="1"/>
        <v>59</v>
      </c>
      <c r="G31" s="60"/>
      <c r="H31" s="16"/>
    </row>
    <row r="32" ht="21" customHeight="1" spans="1:8" x14ac:dyDescent="0.25">
      <c r="A32" s="18" t="s">
        <v>136</v>
      </c>
      <c r="B32" s="58">
        <f t="shared" si="0"/>
        <v>26</v>
      </c>
      <c r="C32" s="14" t="s">
        <v>137</v>
      </c>
      <c r="D32" s="60" t="s">
        <v>138</v>
      </c>
      <c r="E32" s="71" t="s">
        <v>127</v>
      </c>
      <c r="F32" s="58">
        <f t="shared" si="1"/>
        <v>60</v>
      </c>
      <c r="G32" s="60" t="s">
        <v>128</v>
      </c>
      <c r="H32" s="16" t="s">
        <v>129</v>
      </c>
    </row>
    <row r="33" ht="21" customHeight="1" spans="1:8" x14ac:dyDescent="0.25">
      <c r="A33" s="18" t="s">
        <v>142</v>
      </c>
      <c r="B33" s="58">
        <f t="shared" si="0"/>
        <v>27</v>
      </c>
      <c r="C33" s="14" t="s">
        <v>143</v>
      </c>
      <c r="D33" s="60" t="s">
        <v>144</v>
      </c>
      <c r="E33" s="71" t="s">
        <v>133</v>
      </c>
      <c r="F33" s="58">
        <f t="shared" si="1"/>
        <v>61</v>
      </c>
      <c r="G33" s="60" t="s">
        <v>134</v>
      </c>
      <c r="H33" s="16" t="s">
        <v>135</v>
      </c>
    </row>
    <row r="34" ht="21" customHeight="1" spans="1:8" x14ac:dyDescent="0.25">
      <c r="A34" s="18" t="s">
        <v>172</v>
      </c>
      <c r="B34" s="58">
        <f t="shared" si="0"/>
        <v>28</v>
      </c>
      <c r="C34" s="14"/>
      <c r="D34" s="60"/>
      <c r="E34" s="71" t="s">
        <v>139</v>
      </c>
      <c r="F34" s="58">
        <f t="shared" si="1"/>
        <v>62</v>
      </c>
      <c r="G34" s="60" t="s">
        <v>140</v>
      </c>
      <c r="H34" s="16" t="s">
        <v>141</v>
      </c>
    </row>
    <row r="35" ht="21" customHeight="1" spans="1:8" x14ac:dyDescent="0.25">
      <c r="A35" s="18" t="s">
        <v>81</v>
      </c>
      <c r="B35" s="58">
        <f t="shared" si="0"/>
        <v>29</v>
      </c>
      <c r="C35" s="14"/>
      <c r="D35" s="60"/>
      <c r="E35" s="71" t="s">
        <v>145</v>
      </c>
      <c r="F35" s="58">
        <f t="shared" si="1"/>
        <v>63</v>
      </c>
      <c r="G35" s="60" t="s">
        <v>146</v>
      </c>
      <c r="H35" s="16" t="s">
        <v>147</v>
      </c>
    </row>
    <row r="36" ht="21" customHeight="1" spans="1:8" x14ac:dyDescent="0.25">
      <c r="A36" s="18" t="s">
        <v>172</v>
      </c>
      <c r="B36" s="58">
        <f t="shared" si="0"/>
        <v>30</v>
      </c>
      <c r="C36" s="14"/>
      <c r="D36" s="60"/>
      <c r="E36" s="71" t="s">
        <v>172</v>
      </c>
      <c r="F36" s="58">
        <f t="shared" si="1"/>
        <v>64</v>
      </c>
      <c r="G36" s="60"/>
      <c r="H36" s="16"/>
    </row>
    <row r="37" ht="21" customHeight="1" spans="1:8" x14ac:dyDescent="0.25">
      <c r="A37" s="18" t="s">
        <v>81</v>
      </c>
      <c r="B37" s="58">
        <f t="shared" si="0"/>
        <v>31</v>
      </c>
      <c r="C37" s="14"/>
      <c r="D37" s="60"/>
      <c r="E37" s="72"/>
      <c r="F37" s="58">
        <f t="shared" si="1"/>
        <v>65</v>
      </c>
      <c r="G37" s="60"/>
      <c r="H37" s="16"/>
    </row>
    <row r="38" ht="21" customHeight="1" spans="1:8" x14ac:dyDescent="0.25">
      <c r="A38" s="27"/>
      <c r="B38" s="58">
        <f t="shared" si="0"/>
        <v>32</v>
      </c>
      <c r="C38" s="63"/>
      <c r="D38" s="63"/>
      <c r="E38" s="73"/>
      <c r="F38" s="59">
        <f t="shared" si="1"/>
        <v>66</v>
      </c>
      <c r="G38" s="64"/>
      <c r="H38" s="65"/>
    </row>
    <row r="39" ht="21" customHeight="1" spans="1:8" x14ac:dyDescent="0.25">
      <c r="A39" s="74" t="s">
        <v>148</v>
      </c>
      <c r="B39" s="75">
        <f t="shared" si="0"/>
        <v>33</v>
      </c>
      <c r="C39" s="76" t="e">
        <f>C21+C22+C25+C26+C27+C28+C29+C30+C31+C32+C33</f>
        <v>#VALUE!</v>
      </c>
      <c r="D39" s="77" t="e">
        <f>D21+D22+D25+D26+D27+D28+D29+D30+D31+D32+D33</f>
        <v>#VALUE!</v>
      </c>
      <c r="E39" s="78" t="s">
        <v>149</v>
      </c>
      <c r="F39" s="79">
        <f t="shared" si="1"/>
        <v>67</v>
      </c>
      <c r="G39" s="76" t="e">
        <f>G32+G33+G34+G35</f>
        <v>#VALUE!</v>
      </c>
      <c r="H39" s="68" t="e">
        <f>H32+H33+H34+H35</f>
        <v>#VALUE!</v>
      </c>
    </row>
    <row r="40" ht="21" customHeight="1" spans="1:8" x14ac:dyDescent="0.25">
      <c r="A40" s="29" t="s">
        <v>150</v>
      </c>
      <c r="B40" s="37">
        <f t="shared" si="0"/>
        <v>34</v>
      </c>
      <c r="C40" s="38" t="e">
        <f>C19+C39</f>
        <v>#VALUE!</v>
      </c>
      <c r="D40" s="31" t="e">
        <f>D19+D39</f>
        <v>#VALUE!</v>
      </c>
      <c r="E40" s="32" t="s">
        <v>151</v>
      </c>
      <c r="F40" s="39">
        <f t="shared" si="1"/>
        <v>68</v>
      </c>
      <c r="G40" s="38" t="e">
        <f>G29+G39</f>
        <v>#VALUE!</v>
      </c>
      <c r="H40" s="40" t="e">
        <f>H29+H39</f>
        <v>#VALUE!</v>
      </c>
    </row>
    <row r="41" ht="21" customHeight="1" spans="1:8" x14ac:dyDescent="0.25">
      <c r="A41" s="33"/>
      <c r="B41" s="41"/>
      <c r="C41" s="42"/>
      <c r="D41" s="42"/>
      <c r="E41" s="33"/>
      <c r="F41" s="41"/>
      <c r="G41" s="42"/>
      <c r="H41" s="42"/>
    </row>
    <row r="42" ht="21" customHeight="1" spans="1:7" x14ac:dyDescent="0.25">
      <c r="A42" s="43" t="s">
        <v>156</v>
      </c>
      <c r="B42" s="43"/>
      <c r="C42" s="43" t="s">
        <v>157</v>
      </c>
      <c r="D42" s="43"/>
      <c r="E42" s="43" t="s">
        <v>158</v>
      </c>
      <c r="F42" s="43"/>
      <c r="G42" s="43" t="s">
        <v>159</v>
      </c>
    </row>
  </sheetData>
  <pageMargins left="0.74999998873613" right="0.74999998873613" top="0" bottom="0" header="0.499999992490753" footer="0.499999992490753"/>
  <pageSetup paperSize="1" orientation="landscape" horizontalDpi="600" verticalDpi="6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BB000.VTS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罗钧</cp:lastModifiedBy>
  <dcterms:created xsi:type="dcterms:W3CDTF">2026-05-16T02:05:00Z</dcterms:created>
  <dcterms:modified xsi:type="dcterms:W3CDTF">2026-05-19T10:27:33Z</dcterms:modified>
</cp:coreProperties>
</file>