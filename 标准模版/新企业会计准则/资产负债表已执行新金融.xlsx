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showSheetTabs="0" windowHeight="17655"/>
  </bookViews>
  <sheets>
    <sheet name="Sheet2" sheetId="1" r:id="rId1"/>
    <sheet name="Sheet1" sheetId="2" r:id="rId2"/>
    <sheet name="BB000.VTS" sheetId="3" r:id="rId3"/>
  </sheets>
  <definedNames>
    <definedName name="_xlnm.Print_Area" localSheetId="0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<sst xmlns="http://schemas.openxmlformats.org/spreadsheetml/2006/main" count="525" uniqueCount="212">
  <si>
    <t>资  产  负  债  表</t>
  </si>
  <si>
    <t xml:space="preserve">纳税人名称 ：%U                                                                           						</t>
  </si>
  <si>
    <t xml:space="preserve">          %yh%mh%dh</t>
  </si>
  <si>
    <t>会企01表</t>
  </si>
  <si>
    <t xml:space="preserve">      </t>
  </si>
  <si>
    <t xml:space="preserve">    单位：元</t>
  </si>
  <si>
    <t>资产</t>
  </si>
  <si>
    <t>行次</t>
  </si>
  <si>
    <t>期末余额</t>
  </si>
  <si>
    <t>年初余额</t>
  </si>
  <si>
    <t>负债及所有者权益</t>
  </si>
  <si>
    <t>流动资产：</t>
  </si>
  <si>
    <t>流动负债：</t>
  </si>
  <si>
    <t xml:space="preserve">  货币资金</t>
  </si>
  <si>
    <t>@YE(1001,99)+YE(1002,99)+YE(1015,99)</t>
  </si>
  <si>
    <t>@NC(1001)+NC(1002)+NC(1015)</t>
  </si>
  <si>
    <t xml:space="preserve">  短期借款</t>
  </si>
  <si>
    <t>@YE(2001,99)</t>
  </si>
  <si>
    <t>@NC(2001)</t>
  </si>
  <si>
    <t xml:space="preserve">  交易性金融资产</t>
  </si>
  <si>
    <t>@YE(1101,99)</t>
  </si>
  <si>
    <t>@NC(1101)</t>
  </si>
  <si>
    <t xml:space="preserve">  交易性金融负债</t>
  </si>
  <si>
    <t>@YE(2101,99)</t>
  </si>
  <si>
    <t>@NC(2101)</t>
  </si>
  <si>
    <t xml:space="preserve">  衍生金融资产</t>
  </si>
  <si>
    <t>@JY(3101,99)</t>
  </si>
  <si>
    <t>@NJ(3101)</t>
  </si>
  <si>
    <t xml:space="preserve">  衍生金融负债 </t>
  </si>
  <si>
    <t>@DY(3101,99)</t>
  </si>
  <si>
    <t>@ND(3101)</t>
  </si>
  <si>
    <t xml:space="preserve">  应收票据</t>
  </si>
  <si>
    <t>@YE(1121,99)</t>
  </si>
  <si>
    <t>@NC(1121)</t>
  </si>
  <si>
    <t xml:space="preserve">  应付票据</t>
  </si>
  <si>
    <t>@YE(2201,99)</t>
  </si>
  <si>
    <t>@NC(2201)</t>
  </si>
  <si>
    <t xml:space="preserve">  应收账款</t>
  </si>
  <si>
    <t>@MJY(1122,99)+MJY(2205,99)-YE(1241,99)</t>
  </si>
  <si>
    <t>@MNJ(1122)+MNJ(2205)-NC(1241)</t>
  </si>
  <si>
    <t xml:space="preserve">  应付账款</t>
  </si>
  <si>
    <t>@MDY(2202,99)+MDY(1123,99)</t>
  </si>
  <si>
    <t>@MND(2202)+MND(1123)</t>
  </si>
  <si>
    <t xml:space="preserve">  应收款项融资</t>
  </si>
  <si>
    <t xml:space="preserve">  预收款项</t>
  </si>
  <si>
    <t>@MDY(2205,99)+MDY(1122,99)</t>
  </si>
  <si>
    <t>@MND(2205)+MND(1122)</t>
  </si>
  <si>
    <t xml:space="preserve">  预付款项</t>
  </si>
  <si>
    <t>@MJY(1123,99)+MJY(2202,99)+YE(1501,99)</t>
  </si>
  <si>
    <t>@MNJ(1123)+MNJ(2202)+NC(1501)</t>
  </si>
  <si>
    <t xml:space="preserve">  合同负债</t>
  </si>
  <si>
    <t>@ye(2206,99)</t>
  </si>
  <si>
    <t>@nc(2206)</t>
  </si>
  <si>
    <t xml:space="preserve">  其他应收款</t>
  </si>
  <si>
    <t>@MJY(1231,99)+MJY(2241,99)+YE(1131,99)+YE(1132,99)</t>
  </si>
  <si>
    <t>@MNJ(1231)+MNJ(2241)+NC(1131)+NC(1132)</t>
  </si>
  <si>
    <t xml:space="preserve">  应付职工薪酬</t>
  </si>
  <si>
    <t>@YE(2211,99)</t>
  </si>
  <si>
    <t>@NC(2211)</t>
  </si>
  <si>
    <t xml:space="preserve">  存货</t>
  </si>
  <si>
    <t>@YE(1321,99)+YE(1401,99)+YE(1402,99)+YE(1403,99)+YE(1404,99)+YE(1406,99)+YE(1407,99)+YE(1410,99)+YE(1411,99)+YE(1412,99)-YE(1461,99)+YE(5001,99)+YE(5101,99)+YE(5201,99)+ye(1475,99)-ye(1476,99)</t>
  </si>
  <si>
    <t>@NC(1321)+NC(1401)+NC(1402)+NC(1403)+NC(1404)+NC(1406)+NC(1407)+NC(1410)+NC(1411)+NC(1412)-NC(1461)+NC(5001)+NC(5101)+NC(5201)+nc(1475)-nc(1476)</t>
  </si>
  <si>
    <t xml:space="preserve">  应交税费</t>
  </si>
  <si>
    <t>@YE(2221,99)+JY(2221001,99)</t>
  </si>
  <si>
    <t>@NC(2221)+NJ(2221001)</t>
  </si>
  <si>
    <t xml:space="preserve">  合同资产</t>
  </si>
  <si>
    <t>@ye(1473,99)-ye(1474,99)</t>
  </si>
  <si>
    <t>@nc(1473)-nc(1474)</t>
  </si>
  <si>
    <t xml:space="preserve">  其他应付款</t>
  </si>
  <si>
    <t>@MDY(1231,99)+MDY(2241,99)+YE(2231,99)+YE(2232,99)</t>
  </si>
  <si>
    <t>@MND(1231)+MND(2241)+NC(2231)+NC(2232)</t>
  </si>
  <si>
    <t xml:space="preserve">  持有待售资产</t>
  </si>
  <si>
    <t>@YE(1301,99)-YE(1302,99)</t>
  </si>
  <si>
    <t>@NC(1301)-NC(1302)</t>
  </si>
  <si>
    <t xml:space="preserve">  持有待售负债</t>
  </si>
  <si>
    <t>@YE(2421,99)</t>
  </si>
  <si>
    <t>@NC(2421)</t>
  </si>
  <si>
    <t xml:space="preserve">  一年内到期的非流动资产</t>
  </si>
  <si>
    <t xml:space="preserve">  一年内到期的非流动负债</t>
  </si>
  <si>
    <t xml:space="preserve">  其他流动资产</t>
  </si>
  <si>
    <t>@ye(1477,99)-ye(1478,99)+ye(1485,99)+JY(2221001,99)</t>
  </si>
  <si>
    <t>@nc(1477)-nc(1478)+nc(1485)+NJ(2221001)</t>
  </si>
  <si>
    <t xml:space="preserve">  其他流动负债</t>
  </si>
  <si>
    <t>@YE(2314,99)+YE(2401,99)</t>
  </si>
  <si>
    <t>@NC(2314)+nc(2401)</t>
  </si>
  <si>
    <t>流动资产合计</t>
  </si>
  <si>
    <t>流动负债合计</t>
  </si>
  <si>
    <t>非流动资产：</t>
  </si>
  <si>
    <t>非流动负债：</t>
  </si>
  <si>
    <t xml:space="preserve">  债权投资</t>
  </si>
  <si>
    <t>@YE(1527,99)-YE(1528,99)</t>
  </si>
  <si>
    <t>@NC(1527)+NC(1528)</t>
  </si>
  <si>
    <t xml:space="preserve">  长期借款</t>
  </si>
  <si>
    <t>@YE(2601,99)</t>
  </si>
  <si>
    <t>@NC(2601)</t>
  </si>
  <si>
    <t xml:space="preserve">  其他债权投资</t>
  </si>
  <si>
    <t>@YE(1529,99)</t>
  </si>
  <si>
    <t>@NC(1529)</t>
  </si>
  <si>
    <t xml:space="preserve">  应付债券</t>
  </si>
  <si>
    <t>@YE(2602,99)</t>
  </si>
  <si>
    <t>@NC(2602)</t>
  </si>
  <si>
    <t xml:space="preserve">  长期应收款</t>
  </si>
  <si>
    <t>@YE(1531,99)</t>
  </si>
  <si>
    <t>@NC(1531)</t>
  </si>
  <si>
    <t xml:space="preserve">  其中：优先股</t>
  </si>
  <si>
    <t>@YE(2602001,99)</t>
  </si>
  <si>
    <t>@NC(2602001)</t>
  </si>
  <si>
    <t xml:space="preserve">  长期股权投资</t>
  </si>
  <si>
    <t>@YE(1524,99)-YE(1525,99)</t>
  </si>
  <si>
    <t>@NC(1524)-NC(1525)</t>
  </si>
  <si>
    <t xml:space="preserve">        永续债</t>
  </si>
  <si>
    <t>@YE(2602002,99)</t>
  </si>
  <si>
    <t>@NC(2602002)</t>
  </si>
  <si>
    <t xml:space="preserve">  其他权益工具投资</t>
  </si>
  <si>
    <t>@YE(1530,99)</t>
  </si>
  <si>
    <t>@NC(1530)</t>
  </si>
  <si>
    <t xml:space="preserve">  租赁负债</t>
  </si>
  <si>
    <t>@YE(2271,99)</t>
  </si>
  <si>
    <t>@NC(2271)</t>
  </si>
  <si>
    <t xml:space="preserve">  其他非流动金融资产</t>
  </si>
  <si>
    <t>@ye(1523,99)</t>
  </si>
  <si>
    <t>@nc(1523)</t>
  </si>
  <si>
    <t xml:space="preserve">  长期应付款</t>
  </si>
  <si>
    <t>@YE(2801,99)+YE(2811,99)-YE(2802,99)</t>
  </si>
  <si>
    <t>@NC(2801)+NC(2811)-NC(2802)</t>
  </si>
  <si>
    <t xml:space="preserve">  投资性房产</t>
  </si>
  <si>
    <t>@YE(1526,99)</t>
  </si>
  <si>
    <t>@NC(1526)</t>
  </si>
  <si>
    <t xml:space="preserve">  预计负债</t>
  </si>
  <si>
    <t>@YE(2411,99)</t>
  </si>
  <si>
    <t>@NC(2411)</t>
  </si>
  <si>
    <t xml:space="preserve">  固定资产</t>
  </si>
  <si>
    <t>@YE(1601,99)-YE(1602,99)-YE(1603,99)+YE(1606,99)</t>
  </si>
  <si>
    <t>@NC(1601)-NC(1602)-NC(1603)+nc(1606)</t>
  </si>
  <si>
    <t xml:space="preserve">  递延收益</t>
  </si>
  <si>
    <t>@YE(2501,99)</t>
  </si>
  <si>
    <t>@NC(2501)</t>
  </si>
  <si>
    <t xml:space="preserve">  在建工程</t>
  </si>
  <si>
    <t>@YE(1604,99)+YE(1605,99)</t>
  </si>
  <si>
    <t>@NC(1604)+NC(1605)</t>
  </si>
  <si>
    <t xml:space="preserve">  递延所得税负债</t>
  </si>
  <si>
    <t>@YE(2901,99)</t>
  </si>
  <si>
    <t>@NC(2901)</t>
  </si>
  <si>
    <t xml:space="preserve">  生产性生物资产</t>
  </si>
  <si>
    <t>@YE(1621,99)-YE(1622,99)</t>
  </si>
  <si>
    <t>@NC(1621)-nc(1622)</t>
  </si>
  <si>
    <t xml:space="preserve">  其他非流动负债</t>
  </si>
  <si>
    <t xml:space="preserve">  油气资产</t>
  </si>
  <si>
    <t>@YE(1631,99)-YE(1632,99)</t>
  </si>
  <si>
    <t>@NC(1631)-nc(1632)</t>
  </si>
  <si>
    <t>非流动负债合计</t>
  </si>
  <si>
    <t xml:space="preserve">  使用权资产</t>
  </si>
  <si>
    <t>@YE(1641,99)-YE(1642,99)</t>
  </si>
  <si>
    <t>@NC(1641)-nc(1642)</t>
  </si>
  <si>
    <t>负债合计</t>
  </si>
  <si>
    <t xml:space="preserve">  无形资产</t>
  </si>
  <si>
    <t>@YE(1701,99)-YE(1702,99)-YE(1703,99)</t>
  </si>
  <si>
    <t>@NC(1701)-nc(1702)-nc(1703)</t>
  </si>
  <si>
    <t>所有者权益(或股东权益):</t>
  </si>
  <si>
    <t xml:space="preserve">  开发支出</t>
  </si>
  <si>
    <t>@YE(5301,99)</t>
  </si>
  <si>
    <t>@NC(5301)</t>
  </si>
  <si>
    <t xml:space="preserve">  实收资本（或股本）</t>
  </si>
  <si>
    <t>@YE(4001,99)</t>
  </si>
  <si>
    <t>@NC(4001)</t>
  </si>
  <si>
    <t xml:space="preserve">  商誉</t>
  </si>
  <si>
    <t>@YE(1711,99)</t>
  </si>
  <si>
    <t>@NC(1711)</t>
  </si>
  <si>
    <t xml:space="preserve">  其他权益工具</t>
  </si>
  <si>
    <t>@YE(4401,99)</t>
  </si>
  <si>
    <t>@NC(4401)</t>
  </si>
  <si>
    <t xml:space="preserve">  长期待摊费用</t>
  </si>
  <si>
    <t>@YE(1801,99)</t>
  </si>
  <si>
    <t>@NC(1801)</t>
  </si>
  <si>
    <t>@YE(4401001,99)</t>
  </si>
  <si>
    <t>@NC(4401001)</t>
  </si>
  <si>
    <t xml:space="preserve">  递延所得税资产</t>
  </si>
  <si>
    <t>@YE(1811,99)</t>
  </si>
  <si>
    <t>@NC(1811)</t>
  </si>
  <si>
    <t>@YE(4401002,99)</t>
  </si>
  <si>
    <t>@NC(4401002)</t>
  </si>
  <si>
    <t xml:space="preserve">  其他非流动资产</t>
  </si>
  <si>
    <t>@YE(1901,99)</t>
  </si>
  <si>
    <t>@NC(1901)</t>
  </si>
  <si>
    <t xml:space="preserve">  资本公积</t>
  </si>
  <si>
    <t>@YE(4002,99)</t>
  </si>
  <si>
    <t>@NC(4002)</t>
  </si>
  <si>
    <t>非流动资产合计</t>
  </si>
  <si>
    <t xml:space="preserve">  减：库存股</t>
  </si>
  <si>
    <t>@YE(4201,99)</t>
  </si>
  <si>
    <t>@NC(4201)</t>
  </si>
  <si>
    <t xml:space="preserve">  其他综合收益</t>
  </si>
  <si>
    <t>@YE(4402,99)</t>
  </si>
  <si>
    <t>@NC(4402)</t>
  </si>
  <si>
    <t xml:space="preserve">  专项储备</t>
  </si>
  <si>
    <t>@YE(4105,99)</t>
  </si>
  <si>
    <t>@NC(4105)</t>
  </si>
  <si>
    <t xml:space="preserve">  盈余公积</t>
  </si>
  <si>
    <t>@YE(4101,99)</t>
  </si>
  <si>
    <t>@NC(4101)</t>
  </si>
  <si>
    <t xml:space="preserve">  未分配利润</t>
  </si>
  <si>
    <t>@YE(4103,99)+YE(4104,99)</t>
  </si>
  <si>
    <t>@NC(4103)+nc(4104)</t>
  </si>
  <si>
    <t>所有者权益(或股东权益)合计</t>
  </si>
  <si>
    <t>资 产 总 计</t>
  </si>
  <si>
    <t xml:space="preserve">   负债和所有者权益(或股东权益)总计</t>
  </si>
  <si>
    <t>单位负责人:</t>
  </si>
  <si>
    <t>会计主管：</t>
  </si>
  <si>
    <t>审核：</t>
  </si>
  <si>
    <t>制表：</t>
  </si>
  <si>
    <t xml:space="preserve">纳税人名称 ：公司名称                                                                           						</t>
  </si>
  <si>
    <t xml:space="preserve">          2024年01月28日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</si>
</sst>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#,##0.00_);[Red]\(#,##0.00\)"/>
    <numFmt numFmtId="177" formatCode="#,##0.00&quot;￥&quot;;[Red]\-#,##0.00&quot;￥&quot;"/>
    <numFmt numFmtId="178" formatCode="#,##0_);[Red]\(#,##0\)"/>
    <numFmt numFmtId="179" formatCode="#,##0&quot;￥&quot;;[Red]\-#,##0&quot;￥&quot;"/>
    <numFmt numFmtId="180" formatCode="#,##0.00;\-#,##0.00;#"/>
  </numFmts>
  <fonts count="30">
    <font>
      <sz val="12"/>
      <color indexed="8"/>
      <name val="Arial"/>
      <charset val="0"/>
    </font>
    <font>
      <sz val="12"/>
      <color indexed="8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1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2"/>
      <name val="Arial"/>
      <charset val="0"/>
    </font>
    <font>
      <sz val="10"/>
      <color indexed="8"/>
      <name val="MS Sans Serif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Protection="0"/>
    <xf numFmtId="177" fontId="9" fillId="0" borderId="0" applyFont="0" applyFill="0" applyProtection="0"/>
    <xf numFmtId="9" fontId="9" fillId="0" borderId="0" applyFont="0" applyFill="0" applyProtection="0"/>
    <xf numFmtId="178" fontId="9" fillId="0" borderId="0" applyFont="0" applyFill="0" applyProtection="0"/>
    <xf numFmtId="179" fontId="9" fillId="0" borderId="0" applyFont="0" applyFill="0" applyProtection="0"/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" borderId="1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22" applyNumberFormat="0" applyAlignment="0" applyProtection="0">
      <alignment vertical="center"/>
    </xf>
    <xf numFmtId="0" fontId="20" fillId="4" borderId="23" applyNumberFormat="0" applyAlignment="0" applyProtection="0">
      <alignment vertical="center"/>
    </xf>
    <xf numFmtId="0" fontId="21" fillId="4" borderId="22" applyNumberFormat="0" applyAlignment="0" applyProtection="0">
      <alignment vertical="center"/>
    </xf>
    <xf numFmtId="0" fontId="22" fillId="5" borderId="24" applyNumberFormat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4" fillId="0" borderId="26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49">
    <xf numFmtId="0" fontId="0" fillId="0" borderId="0" xfId="0"/>
    <xf numFmtId="0" fontId="1" fillId="0" borderId="0" xfId="0" applyFont="1"/>
    <xf numFmtId="180" fontId="2" fillId="0" borderId="0" xfId="0" applyNumberFormat="1" applyFont="1" applyFill="1" applyAlignment="1" applyProtection="1"/>
    <xf numFmtId="0" fontId="0" fillId="0" borderId="0" xfId="0" applyBorder="1"/>
    <xf numFmtId="0" fontId="3" fillId="0" borderId="0" xfId="0" applyNumberFormat="1" applyFont="1" applyFill="1" applyAlignment="1" applyProtection="1">
      <alignment horizontal="centerContinuous" vertical="center"/>
    </xf>
    <xf numFmtId="0" fontId="1" fillId="0" borderId="0" xfId="0" applyFont="1" applyAlignment="1">
      <alignment horizontal="centerContinuous" vertical="center"/>
    </xf>
    <xf numFmtId="180" fontId="2" fillId="0" borderId="0" xfId="0" applyNumberFormat="1" applyFont="1" applyFill="1" applyAlignment="1" applyProtection="1">
      <alignment horizontal="centerContinuous" vertical="center"/>
    </xf>
    <xf numFmtId="0" fontId="4" fillId="0" borderId="0" xfId="0" applyNumberFormat="1" applyFont="1" applyFill="1" applyAlignment="1" applyProtection="1">
      <alignment vertical="center"/>
    </xf>
    <xf numFmtId="0" fontId="1" fillId="0" borderId="0" xfId="0" applyFont="1" applyAlignment="1">
      <alignment vertical="center"/>
    </xf>
    <xf numFmtId="180" fontId="2" fillId="0" borderId="0" xfId="0" applyNumberFormat="1" applyFont="1" applyFill="1" applyAlignment="1" applyProtection="1">
      <alignment vertical="center"/>
    </xf>
    <xf numFmtId="180" fontId="4" fillId="0" borderId="0" xfId="0" applyNumberFormat="1" applyFont="1" applyFill="1" applyAlignment="1" applyProtection="1">
      <alignment vertical="center"/>
    </xf>
    <xf numFmtId="180" fontId="4" fillId="0" borderId="0" xfId="0" applyNumberFormat="1" applyFont="1" applyFill="1" applyAlignment="1" applyProtection="1">
      <alignment horizontal="right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180" fontId="5" fillId="0" borderId="3" xfId="0" applyNumberFormat="1" applyFont="1" applyFill="1" applyBorder="1" applyAlignment="1" applyProtection="1">
      <alignment horizontal="center" vertical="center"/>
    </xf>
    <xf numFmtId="0" fontId="5" fillId="0" borderId="2" xfId="0" applyNumberFormat="1" applyFont="1" applyFill="1" applyBorder="1" applyAlignment="1" applyProtection="1">
      <alignment horizontal="center" vertical="center"/>
    </xf>
    <xf numFmtId="180" fontId="5" fillId="0" borderId="4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vertical="center"/>
    </xf>
    <xf numFmtId="0" fontId="2" fillId="0" borderId="6" xfId="0" applyNumberFormat="1" applyFont="1" applyFill="1" applyBorder="1" applyAlignment="1" applyProtection="1">
      <alignment horizontal="center" vertical="center"/>
    </xf>
    <xf numFmtId="180" fontId="7" fillId="0" borderId="7" xfId="0" applyNumberFormat="1" applyFont="1" applyFill="1" applyBorder="1" applyAlignment="1" applyProtection="1">
      <alignment horizontal="right" vertical="center"/>
    </xf>
    <xf numFmtId="0" fontId="6" fillId="0" borderId="8" xfId="0" applyNumberFormat="1" applyFont="1" applyFill="1" applyBorder="1" applyAlignment="1" applyProtection="1">
      <alignment vertical="center"/>
    </xf>
    <xf numFmtId="180" fontId="7" fillId="0" borderId="9" xfId="0" applyNumberFormat="1" applyFont="1" applyFill="1" applyBorder="1" applyAlignment="1" applyProtection="1">
      <alignment horizontal="right" vertical="center"/>
    </xf>
    <xf numFmtId="0" fontId="7" fillId="0" borderId="5" xfId="0" applyNumberFormat="1" applyFont="1" applyFill="1" applyBorder="1" applyAlignment="1" applyProtection="1">
      <alignment vertical="center"/>
    </xf>
    <xf numFmtId="0" fontId="7" fillId="0" borderId="8" xfId="0" applyNumberFormat="1" applyFont="1" applyFill="1" applyBorder="1" applyAlignment="1" applyProtection="1">
      <alignment vertical="center"/>
    </xf>
    <xf numFmtId="0" fontId="7" fillId="0" borderId="8" xfId="0" applyNumberFormat="1" applyFont="1" applyFill="1" applyBorder="1" applyAlignment="1" applyProtection="1">
      <alignment horizontal="left" vertical="center"/>
    </xf>
    <xf numFmtId="0" fontId="2" fillId="0" borderId="5" xfId="0" applyNumberFormat="1" applyFont="1" applyFill="1" applyBorder="1" applyAlignment="1" applyProtection="1"/>
    <xf numFmtId="0" fontId="1" fillId="0" borderId="8" xfId="0" applyNumberFormat="1" applyFont="1" applyFill="1" applyBorder="1" applyAlignment="1" applyProtection="1"/>
    <xf numFmtId="180" fontId="2" fillId="0" borderId="9" xfId="0" applyNumberFormat="1" applyFont="1" applyFill="1" applyBorder="1" applyAlignment="1" applyProtection="1">
      <alignment horizontal="right" vertic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180" fontId="6" fillId="0" borderId="7" xfId="0" applyNumberFormat="1" applyFont="1" applyFill="1" applyBorder="1" applyAlignment="1" applyProtection="1">
      <alignment horizontal="right" vertical="center"/>
    </xf>
    <xf numFmtId="0" fontId="6" fillId="0" borderId="8" xfId="0" applyNumberFormat="1" applyFont="1" applyFill="1" applyBorder="1" applyAlignment="1" applyProtection="1">
      <alignment horizontal="center" vertical="center"/>
    </xf>
    <xf numFmtId="180" fontId="6" fillId="0" borderId="9" xfId="0" applyNumberFormat="1" applyFont="1" applyFill="1" applyBorder="1" applyAlignment="1" applyProtection="1">
      <alignment horizontal="right" vertical="center"/>
    </xf>
    <xf numFmtId="180" fontId="2" fillId="0" borderId="7" xfId="0" applyNumberFormat="1" applyFont="1" applyFill="1" applyBorder="1" applyAlignment="1" applyProtection="1">
      <alignment horizontal="right" vertical="center"/>
    </xf>
    <xf numFmtId="0" fontId="7" fillId="0" borderId="10" xfId="0" applyNumberFormat="1" applyFont="1" applyFill="1" applyBorder="1" applyAlignment="1" applyProtection="1">
      <alignment vertical="center"/>
    </xf>
    <xf numFmtId="180" fontId="7" fillId="0" borderId="11" xfId="0" applyNumberFormat="1" applyFont="1" applyFill="1" applyBorder="1" applyAlignment="1" applyProtection="1">
      <alignment horizontal="right" vertical="center"/>
    </xf>
    <xf numFmtId="180" fontId="7" fillId="0" borderId="12" xfId="0" applyNumberFormat="1" applyFont="1" applyFill="1" applyBorder="1" applyAlignment="1" applyProtection="1">
      <alignment horizontal="right" vertical="center"/>
    </xf>
    <xf numFmtId="0" fontId="7" fillId="0" borderId="5" xfId="0" applyNumberFormat="1" applyFont="1" applyFill="1" applyBorder="1" applyAlignment="1" applyProtection="1"/>
    <xf numFmtId="0" fontId="2" fillId="0" borderId="13" xfId="0" applyNumberFormat="1" applyFont="1" applyFill="1" applyBorder="1" applyAlignment="1" applyProtection="1">
      <alignment horizontal="center" vertical="center"/>
    </xf>
    <xf numFmtId="0" fontId="5" fillId="0" borderId="14" xfId="0" applyNumberFormat="1" applyFont="1" applyFill="1" applyBorder="1" applyAlignment="1" applyProtection="1">
      <alignment horizontal="center" vertical="center" wrapText="1"/>
    </xf>
    <xf numFmtId="0" fontId="2" fillId="0" borderId="15" xfId="0" applyNumberFormat="1" applyFont="1" applyFill="1" applyBorder="1" applyAlignment="1" applyProtection="1">
      <alignment horizontal="center" vertical="center"/>
    </xf>
    <xf numFmtId="180" fontId="6" fillId="0" borderId="16" xfId="0" applyNumberFormat="1" applyFont="1" applyFill="1" applyBorder="1" applyAlignment="1" applyProtection="1">
      <alignment horizontal="right" vertical="center"/>
    </xf>
    <xf numFmtId="0" fontId="5" fillId="0" borderId="17" xfId="0" applyNumberFormat="1" applyFont="1" applyFill="1" applyBorder="1" applyAlignment="1" applyProtection="1">
      <alignment horizontal="center" vertical="center" wrapText="1"/>
    </xf>
    <xf numFmtId="180" fontId="6" fillId="0" borderId="18" xfId="0" applyNumberFormat="1" applyFont="1" applyFill="1" applyBorder="1" applyAlignment="1" applyProtection="1">
      <alignment horizontal="right" vertical="center"/>
    </xf>
    <xf numFmtId="0" fontId="5" fillId="0" borderId="0" xfId="0" applyNumberFormat="1" applyFont="1" applyFill="1" applyAlignment="1" applyProtection="1">
      <alignment horizontal="center" vertical="center" wrapText="1"/>
    </xf>
    <xf numFmtId="0" fontId="2" fillId="0" borderId="0" xfId="0" applyNumberFormat="1" applyFont="1" applyFill="1" applyAlignment="1" applyProtection="1">
      <alignment horizontal="center" vertical="center"/>
    </xf>
    <xf numFmtId="180" fontId="5" fillId="0" borderId="0" xfId="0" applyNumberFormat="1" applyFont="1" applyFill="1" applyAlignment="1" applyProtection="1">
      <alignment horizontal="right" vertical="center"/>
    </xf>
    <xf numFmtId="0" fontId="5" fillId="0" borderId="0" xfId="0" applyNumberFormat="1" applyFont="1" applyFill="1" applyAlignment="1" applyProtection="1">
      <alignment horizontal="left" vertical="center"/>
    </xf>
    <xf numFmtId="180" fontId="5" fillId="0" borderId="0" xfId="0" applyNumberFormat="1" applyFont="1" applyFill="1" applyAlignment="1" applyProtection="1">
      <alignment horizontal="left" vertical="center"/>
    </xf>
    <xf numFmtId="180" fontId="8" fillId="0" borderId="0" xfId="0" applyNumberFormat="1" applyFont="1" applyFill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50"/>
  <sheetViews>
    <sheetView showGridLines="0" tabSelected="1" zoomScaleSheetLayoutView="60" workbookViewId="0">
      <selection activeCell="G11" sqref="G11"/>
    </sheetView>
  </sheetViews>
  <sheetFormatPr defaultColWidth="9.14814814814815" defaultRowHeight="25.1" customHeight="1" outlineLevelCol="7"/>
  <cols>
    <col min="1" max="1" width="21.1111111111111" customWidth="1"/>
    <col min="2" max="2" width="3.44444444444444" customWidth="1"/>
    <col min="3" max="4" width="13" style="48" customWidth="1"/>
    <col min="5" max="5" width="21.1111111111111" customWidth="1"/>
    <col min="6" max="6" width="3.33333333333333" customWidth="1"/>
    <col min="7" max="8" width="13" style="48" customWidth="1"/>
    <col min="9" max="16384" width="9.14814814814815" customWidth="1"/>
  </cols>
  <sheetData>
    <row r="1" ht="7.5" customHeight="1" spans="1:8">
      <c r="A1" s="1"/>
      <c r="B1" s="1"/>
      <c r="C1" s="2"/>
      <c r="D1" s="2"/>
      <c r="E1" s="1"/>
      <c r="F1" s="1"/>
      <c r="G1" s="2"/>
      <c r="H1" s="2"/>
    </row>
    <row r="2" ht="48" customHeight="1" spans="1:8">
      <c r="A2" s="4" t="s">
        <v>0</v>
      </c>
      <c r="B2" s="5"/>
      <c r="C2" s="6"/>
      <c r="D2" s="6"/>
      <c r="E2" s="5"/>
      <c r="F2" s="5"/>
      <c r="G2" s="6"/>
      <c r="H2" s="6"/>
    </row>
    <row r="3" ht="15.75" customHeight="1" spans="1:8">
      <c r="A3" s="7" t="s">
        <v>1</v>
      </c>
      <c r="B3" s="8"/>
      <c r="C3" s="9"/>
      <c r="D3" s="10" t="s">
        <v>2</v>
      </c>
      <c r="E3" s="8"/>
      <c r="F3" s="8"/>
      <c r="G3" s="9"/>
      <c r="H3" s="11" t="s">
        <v>3</v>
      </c>
    </row>
    <row r="4" ht="12" customHeight="1" spans="1:8">
      <c r="A4" s="1" t="s">
        <v>4</v>
      </c>
      <c r="B4" s="1"/>
      <c r="C4" s="2"/>
      <c r="D4" s="2"/>
      <c r="E4" s="1"/>
      <c r="F4" s="1"/>
      <c r="G4" s="2"/>
      <c r="H4" s="11" t="s">
        <v>5</v>
      </c>
    </row>
    <row r="5" ht="36.7" customHeight="1" spans="1:8">
      <c r="A5" s="12" t="s">
        <v>6</v>
      </c>
      <c r="B5" s="13" t="s">
        <v>7</v>
      </c>
      <c r="C5" s="14" t="s">
        <v>8</v>
      </c>
      <c r="D5" s="14" t="s">
        <v>9</v>
      </c>
      <c r="E5" s="15" t="s">
        <v>10</v>
      </c>
      <c r="F5" s="13" t="s">
        <v>7</v>
      </c>
      <c r="G5" s="14" t="s">
        <v>8</v>
      </c>
      <c r="H5" s="16" t="s">
        <v>9</v>
      </c>
    </row>
    <row r="6" ht="21.6" customHeight="1" spans="1:8">
      <c r="A6" s="17" t="s">
        <v>11</v>
      </c>
      <c r="B6" s="18">
        <v>1</v>
      </c>
      <c r="C6" s="19"/>
      <c r="D6" s="19"/>
      <c r="E6" s="20" t="s">
        <v>12</v>
      </c>
      <c r="F6" s="18">
        <v>1</v>
      </c>
      <c r="G6" s="19"/>
      <c r="H6" s="21"/>
    </row>
    <row r="7" ht="21.6" customHeight="1" spans="1:8">
      <c r="A7" s="22" t="s">
        <v>13</v>
      </c>
      <c r="B7" s="18">
        <v>2</v>
      </c>
      <c r="C7" s="19" t="s">
        <v>14</v>
      </c>
      <c r="D7" s="19" t="s">
        <v>15</v>
      </c>
      <c r="E7" s="23" t="s">
        <v>16</v>
      </c>
      <c r="F7" s="18">
        <v>2</v>
      </c>
      <c r="G7" s="19" t="s">
        <v>17</v>
      </c>
      <c r="H7" s="21" t="s">
        <v>18</v>
      </c>
    </row>
    <row r="8" ht="21.75" customHeight="1" spans="1:8">
      <c r="A8" s="22" t="s">
        <v>19</v>
      </c>
      <c r="B8" s="18">
        <v>3</v>
      </c>
      <c r="C8" s="19" t="s">
        <v>20</v>
      </c>
      <c r="D8" s="19" t="s">
        <v>21</v>
      </c>
      <c r="E8" s="23" t="s">
        <v>22</v>
      </c>
      <c r="F8" s="18">
        <v>3</v>
      </c>
      <c r="G8" s="19" t="s">
        <v>23</v>
      </c>
      <c r="H8" s="21" t="s">
        <v>24</v>
      </c>
    </row>
    <row r="9" ht="20.25" customHeight="1" spans="1:8">
      <c r="A9" s="22" t="s">
        <v>25</v>
      </c>
      <c r="B9" s="18">
        <v>4</v>
      </c>
      <c r="C9" s="19" t="s">
        <v>26</v>
      </c>
      <c r="D9" s="19" t="s">
        <v>27</v>
      </c>
      <c r="E9" s="24" t="s">
        <v>28</v>
      </c>
      <c r="F9" s="18">
        <v>4</v>
      </c>
      <c r="G9" s="19" t="s">
        <v>29</v>
      </c>
      <c r="H9" s="21" t="s">
        <v>30</v>
      </c>
    </row>
    <row r="10" customHeight="1" spans="1:8">
      <c r="A10" s="22" t="s">
        <v>31</v>
      </c>
      <c r="B10" s="18">
        <v>5</v>
      </c>
      <c r="C10" s="19" t="s">
        <v>32</v>
      </c>
      <c r="D10" s="19" t="s">
        <v>33</v>
      </c>
      <c r="E10" s="24" t="s">
        <v>34</v>
      </c>
      <c r="F10" s="18">
        <v>5</v>
      </c>
      <c r="G10" s="19" t="s">
        <v>35</v>
      </c>
      <c r="H10" s="21" t="s">
        <v>36</v>
      </c>
    </row>
    <row r="11" customHeight="1" spans="1:8">
      <c r="A11" s="22" t="s">
        <v>37</v>
      </c>
      <c r="B11" s="18">
        <v>6</v>
      </c>
      <c r="C11" s="19" t="s">
        <v>38</v>
      </c>
      <c r="D11" s="19" t="s">
        <v>39</v>
      </c>
      <c r="E11" s="24" t="s">
        <v>40</v>
      </c>
      <c r="F11" s="18">
        <v>6</v>
      </c>
      <c r="G11" s="19" t="s">
        <v>41</v>
      </c>
      <c r="H11" s="21" t="s">
        <v>42</v>
      </c>
    </row>
    <row r="12" ht="21.6" customHeight="1" spans="1:8">
      <c r="A12" s="22" t="s">
        <v>43</v>
      </c>
      <c r="B12" s="18">
        <v>7</v>
      </c>
      <c r="C12" s="19"/>
      <c r="D12" s="19"/>
      <c r="E12" s="23" t="s">
        <v>44</v>
      </c>
      <c r="F12" s="18">
        <v>7</v>
      </c>
      <c r="G12" s="19" t="s">
        <v>45</v>
      </c>
      <c r="H12" s="21" t="s">
        <v>46</v>
      </c>
    </row>
    <row r="13" ht="21.6" customHeight="1" spans="1:8">
      <c r="A13" s="22" t="s">
        <v>47</v>
      </c>
      <c r="B13" s="18">
        <v>8</v>
      </c>
      <c r="C13" s="19" t="s">
        <v>48</v>
      </c>
      <c r="D13" s="19" t="s">
        <v>49</v>
      </c>
      <c r="E13" s="23" t="s">
        <v>50</v>
      </c>
      <c r="F13" s="18">
        <v>8</v>
      </c>
      <c r="G13" s="19" t="s">
        <v>51</v>
      </c>
      <c r="H13" s="21" t="s">
        <v>52</v>
      </c>
    </row>
    <row r="14" ht="21.6" customHeight="1" spans="1:8">
      <c r="A14" s="22" t="s">
        <v>53</v>
      </c>
      <c r="B14" s="18">
        <v>9</v>
      </c>
      <c r="C14" s="19" t="s">
        <v>54</v>
      </c>
      <c r="D14" s="19" t="s">
        <v>55</v>
      </c>
      <c r="E14" s="23" t="s">
        <v>56</v>
      </c>
      <c r="F14" s="18">
        <v>9</v>
      </c>
      <c r="G14" s="19" t="s">
        <v>57</v>
      </c>
      <c r="H14" s="21" t="s">
        <v>58</v>
      </c>
    </row>
    <row r="15" ht="21" customHeight="1" spans="1:8">
      <c r="A15" s="22" t="s">
        <v>59</v>
      </c>
      <c r="B15" s="18">
        <v>10</v>
      </c>
      <c r="C15" s="19" t="s">
        <v>60</v>
      </c>
      <c r="D15" s="19" t="s">
        <v>61</v>
      </c>
      <c r="E15" s="23" t="s">
        <v>62</v>
      </c>
      <c r="F15" s="18">
        <v>10</v>
      </c>
      <c r="G15" s="19" t="s">
        <v>63</v>
      </c>
      <c r="H15" s="21" t="s">
        <v>64</v>
      </c>
    </row>
    <row r="16" customHeight="1" spans="1:8">
      <c r="A16" s="22" t="s">
        <v>65</v>
      </c>
      <c r="B16" s="18">
        <v>11</v>
      </c>
      <c r="C16" s="19" t="s">
        <v>66</v>
      </c>
      <c r="D16" s="19" t="s">
        <v>67</v>
      </c>
      <c r="E16" s="23" t="s">
        <v>68</v>
      </c>
      <c r="F16" s="18">
        <v>11</v>
      </c>
      <c r="G16" s="19" t="s">
        <v>69</v>
      </c>
      <c r="H16" s="21" t="s">
        <v>70</v>
      </c>
    </row>
    <row r="17" ht="21.6" customHeight="1" spans="1:8">
      <c r="A17" s="22" t="s">
        <v>71</v>
      </c>
      <c r="B17" s="18">
        <v>12</v>
      </c>
      <c r="C17" s="19" t="s">
        <v>72</v>
      </c>
      <c r="D17" s="19" t="s">
        <v>73</v>
      </c>
      <c r="E17" s="23" t="s">
        <v>74</v>
      </c>
      <c r="F17" s="18">
        <v>12</v>
      </c>
      <c r="G17" s="19" t="s">
        <v>75</v>
      </c>
      <c r="H17" s="21" t="s">
        <v>76</v>
      </c>
    </row>
    <row r="18" ht="21.6" customHeight="1" spans="1:8">
      <c r="A18" s="22" t="s">
        <v>77</v>
      </c>
      <c r="B18" s="18">
        <v>13</v>
      </c>
      <c r="C18" s="19"/>
      <c r="D18" s="19"/>
      <c r="E18" s="23" t="s">
        <v>78</v>
      </c>
      <c r="F18" s="18">
        <v>13</v>
      </c>
      <c r="G18" s="19"/>
      <c r="H18" s="21"/>
    </row>
    <row r="19" ht="21.6" customHeight="1" spans="1:8">
      <c r="A19" s="22" t="s">
        <v>79</v>
      </c>
      <c r="B19" s="18">
        <v>14</v>
      </c>
      <c r="C19" s="19" t="s">
        <v>80</v>
      </c>
      <c r="D19" s="19" t="s">
        <v>81</v>
      </c>
      <c r="E19" s="23" t="s">
        <v>82</v>
      </c>
      <c r="F19" s="18">
        <v>14</v>
      </c>
      <c r="G19" s="19" t="s">
        <v>83</v>
      </c>
      <c r="H19" s="21" t="s">
        <v>84</v>
      </c>
    </row>
    <row r="20" ht="21.6" customHeight="1" spans="1:8">
      <c r="A20" s="25"/>
      <c r="B20" s="18">
        <v>15</v>
      </c>
      <c r="C20" s="19"/>
      <c r="D20" s="19"/>
      <c r="E20" s="26"/>
      <c r="F20" s="18">
        <v>15</v>
      </c>
      <c r="G20" s="19"/>
      <c r="H20" s="27"/>
    </row>
    <row r="21" ht="21.6" customHeight="1" spans="1:8">
      <c r="A21" s="28" t="s">
        <v>85</v>
      </c>
      <c r="B21" s="18">
        <v>16</v>
      </c>
      <c r="C21" s="19">
        <f>SUM(C7:C20)</f>
        <v>0</v>
      </c>
      <c r="D21" s="29">
        <f>SUM(D7:D20)</f>
        <v>0</v>
      </c>
      <c r="E21" s="30" t="s">
        <v>86</v>
      </c>
      <c r="F21" s="18">
        <v>16</v>
      </c>
      <c r="G21" s="19">
        <f>SUM(G7:G20)</f>
        <v>0</v>
      </c>
      <c r="H21" s="31">
        <f>SUM(H7:H20)</f>
        <v>0</v>
      </c>
    </row>
    <row r="22" ht="21.6" customHeight="1" spans="1:8">
      <c r="A22" s="17" t="s">
        <v>87</v>
      </c>
      <c r="B22" s="18">
        <v>17</v>
      </c>
      <c r="C22" s="19"/>
      <c r="D22" s="19"/>
      <c r="E22" s="20" t="s">
        <v>88</v>
      </c>
      <c r="F22" s="18">
        <v>17</v>
      </c>
      <c r="G22" s="19"/>
      <c r="H22" s="21"/>
    </row>
    <row r="23" customHeight="1" spans="1:8">
      <c r="A23" s="22" t="s">
        <v>89</v>
      </c>
      <c r="B23" s="18">
        <v>18</v>
      </c>
      <c r="C23" s="19" t="s">
        <v>90</v>
      </c>
      <c r="D23" s="19" t="s">
        <v>91</v>
      </c>
      <c r="E23" s="23" t="s">
        <v>92</v>
      </c>
      <c r="F23" s="18">
        <v>18</v>
      </c>
      <c r="G23" s="19" t="s">
        <v>93</v>
      </c>
      <c r="H23" s="21" t="s">
        <v>94</v>
      </c>
    </row>
    <row r="24" customHeight="1" spans="1:8">
      <c r="A24" s="22" t="s">
        <v>95</v>
      </c>
      <c r="B24" s="18">
        <v>19</v>
      </c>
      <c r="C24" s="19" t="s">
        <v>96</v>
      </c>
      <c r="D24" s="19" t="s">
        <v>97</v>
      </c>
      <c r="E24" s="23" t="s">
        <v>98</v>
      </c>
      <c r="F24" s="18">
        <v>19</v>
      </c>
      <c r="G24" s="19" t="s">
        <v>99</v>
      </c>
      <c r="H24" s="21" t="s">
        <v>100</v>
      </c>
    </row>
    <row r="25" ht="21.6" customHeight="1" spans="1:8">
      <c r="A25" s="22" t="s">
        <v>101</v>
      </c>
      <c r="B25" s="18">
        <v>20</v>
      </c>
      <c r="C25" s="19" t="s">
        <v>102</v>
      </c>
      <c r="D25" s="19" t="s">
        <v>103</v>
      </c>
      <c r="E25" s="23" t="s">
        <v>104</v>
      </c>
      <c r="F25" s="18">
        <v>20</v>
      </c>
      <c r="G25" s="19" t="s">
        <v>105</v>
      </c>
      <c r="H25" s="21" t="s">
        <v>106</v>
      </c>
    </row>
    <row r="26" ht="21.6" customHeight="1" spans="1:8">
      <c r="A26" s="22" t="s">
        <v>107</v>
      </c>
      <c r="B26" s="18">
        <v>21</v>
      </c>
      <c r="C26" s="19" t="s">
        <v>108</v>
      </c>
      <c r="D26" s="19" t="s">
        <v>109</v>
      </c>
      <c r="E26" s="23" t="s">
        <v>110</v>
      </c>
      <c r="F26" s="18">
        <v>21</v>
      </c>
      <c r="G26" s="19" t="s">
        <v>111</v>
      </c>
      <c r="H26" s="21" t="s">
        <v>112</v>
      </c>
    </row>
    <row r="27" customHeight="1" spans="1:8">
      <c r="A27" s="22" t="s">
        <v>113</v>
      </c>
      <c r="B27" s="18">
        <v>22</v>
      </c>
      <c r="C27" s="19" t="s">
        <v>114</v>
      </c>
      <c r="D27" s="19" t="s">
        <v>115</v>
      </c>
      <c r="E27" s="23" t="s">
        <v>116</v>
      </c>
      <c r="F27" s="18">
        <v>22</v>
      </c>
      <c r="G27" s="19" t="s">
        <v>117</v>
      </c>
      <c r="H27" s="21" t="s">
        <v>118</v>
      </c>
    </row>
    <row r="28" customHeight="1" spans="1:8">
      <c r="A28" s="22" t="s">
        <v>119</v>
      </c>
      <c r="B28" s="18">
        <v>23</v>
      </c>
      <c r="C28" s="19" t="s">
        <v>120</v>
      </c>
      <c r="D28" s="19" t="s">
        <v>121</v>
      </c>
      <c r="E28" s="23" t="s">
        <v>122</v>
      </c>
      <c r="F28" s="18">
        <v>23</v>
      </c>
      <c r="G28" s="19" t="s">
        <v>123</v>
      </c>
      <c r="H28" s="21" t="s">
        <v>124</v>
      </c>
    </row>
    <row r="29" customHeight="1" spans="1:8">
      <c r="A29" s="22" t="s">
        <v>125</v>
      </c>
      <c r="B29" s="18">
        <v>24</v>
      </c>
      <c r="C29" s="19" t="s">
        <v>126</v>
      </c>
      <c r="D29" s="19" t="s">
        <v>127</v>
      </c>
      <c r="E29" s="23" t="s">
        <v>128</v>
      </c>
      <c r="F29" s="18">
        <v>24</v>
      </c>
      <c r="G29" s="19" t="s">
        <v>129</v>
      </c>
      <c r="H29" s="21" t="s">
        <v>130</v>
      </c>
    </row>
    <row r="30" ht="21.6" customHeight="1" spans="1:8">
      <c r="A30" s="22" t="s">
        <v>131</v>
      </c>
      <c r="B30" s="18">
        <v>25</v>
      </c>
      <c r="C30" s="19" t="s">
        <v>132</v>
      </c>
      <c r="D30" s="19" t="s">
        <v>133</v>
      </c>
      <c r="E30" s="23" t="s">
        <v>134</v>
      </c>
      <c r="F30" s="18">
        <v>25</v>
      </c>
      <c r="G30" s="19" t="s">
        <v>135</v>
      </c>
      <c r="H30" s="21" t="s">
        <v>136</v>
      </c>
    </row>
    <row r="31" ht="21.6" customHeight="1" spans="1:8">
      <c r="A31" s="22" t="s">
        <v>137</v>
      </c>
      <c r="B31" s="18">
        <v>26</v>
      </c>
      <c r="C31" s="19" t="s">
        <v>138</v>
      </c>
      <c r="D31" s="19" t="s">
        <v>139</v>
      </c>
      <c r="E31" s="23" t="s">
        <v>140</v>
      </c>
      <c r="F31" s="18">
        <v>26</v>
      </c>
      <c r="G31" s="19" t="s">
        <v>141</v>
      </c>
      <c r="H31" s="21" t="s">
        <v>142</v>
      </c>
    </row>
    <row r="32" ht="21.6" customHeight="1" spans="1:8">
      <c r="A32" s="22" t="s">
        <v>143</v>
      </c>
      <c r="B32" s="18">
        <v>27</v>
      </c>
      <c r="C32" s="19" t="s">
        <v>144</v>
      </c>
      <c r="D32" s="19" t="s">
        <v>145</v>
      </c>
      <c r="E32" s="23" t="s">
        <v>146</v>
      </c>
      <c r="F32" s="18">
        <v>27</v>
      </c>
      <c r="G32" s="19"/>
      <c r="H32" s="21"/>
    </row>
    <row r="33" ht="21.6" customHeight="1" spans="1:8">
      <c r="A33" s="22" t="s">
        <v>147</v>
      </c>
      <c r="B33" s="18">
        <v>28</v>
      </c>
      <c r="C33" s="19" t="s">
        <v>148</v>
      </c>
      <c r="D33" s="19" t="s">
        <v>149</v>
      </c>
      <c r="E33" s="30" t="s">
        <v>150</v>
      </c>
      <c r="F33" s="18">
        <v>28</v>
      </c>
      <c r="G33" s="19">
        <f>SUM(G23:G24)+SUM(G27:G32)</f>
        <v>0</v>
      </c>
      <c r="H33" s="31">
        <f>SUM(H23:H24)+SUM(H27:H32)</f>
        <v>0</v>
      </c>
    </row>
    <row r="34" ht="21.6" customHeight="1" spans="1:8">
      <c r="A34" s="22" t="s">
        <v>151</v>
      </c>
      <c r="B34" s="18">
        <v>29</v>
      </c>
      <c r="C34" s="19" t="s">
        <v>152</v>
      </c>
      <c r="D34" s="19" t="s">
        <v>153</v>
      </c>
      <c r="E34" s="30" t="s">
        <v>154</v>
      </c>
      <c r="F34" s="18">
        <v>29</v>
      </c>
      <c r="G34" s="19">
        <f>G33+G21</f>
        <v>0</v>
      </c>
      <c r="H34" s="31">
        <f>H33+H21</f>
        <v>0</v>
      </c>
    </row>
    <row r="35" ht="21.6" customHeight="1" spans="1:8">
      <c r="A35" s="22" t="s">
        <v>155</v>
      </c>
      <c r="B35" s="18">
        <v>30</v>
      </c>
      <c r="C35" s="19" t="s">
        <v>156</v>
      </c>
      <c r="D35" s="19" t="s">
        <v>157</v>
      </c>
      <c r="E35" s="20" t="s">
        <v>158</v>
      </c>
      <c r="F35" s="18">
        <v>30</v>
      </c>
      <c r="G35" s="19"/>
      <c r="H35" s="21"/>
    </row>
    <row r="36" ht="21.6" customHeight="1" spans="1:8">
      <c r="A36" s="22" t="s">
        <v>159</v>
      </c>
      <c r="B36" s="18">
        <v>31</v>
      </c>
      <c r="C36" s="19" t="s">
        <v>160</v>
      </c>
      <c r="D36" s="19" t="s">
        <v>161</v>
      </c>
      <c r="E36" s="23" t="s">
        <v>162</v>
      </c>
      <c r="F36" s="18">
        <v>31</v>
      </c>
      <c r="G36" s="19" t="s">
        <v>163</v>
      </c>
      <c r="H36" s="21" t="s">
        <v>164</v>
      </c>
    </row>
    <row r="37" ht="21.6" customHeight="1" spans="1:8">
      <c r="A37" s="22" t="s">
        <v>165</v>
      </c>
      <c r="B37" s="18">
        <v>32</v>
      </c>
      <c r="C37" s="19" t="s">
        <v>166</v>
      </c>
      <c r="D37" s="19" t="s">
        <v>167</v>
      </c>
      <c r="E37" s="23" t="s">
        <v>168</v>
      </c>
      <c r="F37" s="18">
        <v>32</v>
      </c>
      <c r="G37" s="19" t="s">
        <v>169</v>
      </c>
      <c r="H37" s="21" t="s">
        <v>170</v>
      </c>
    </row>
    <row r="38" ht="21.6" customHeight="1" spans="1:8">
      <c r="A38" s="22" t="s">
        <v>171</v>
      </c>
      <c r="B38" s="18">
        <v>33</v>
      </c>
      <c r="C38" s="19" t="s">
        <v>172</v>
      </c>
      <c r="D38" s="19" t="s">
        <v>173</v>
      </c>
      <c r="E38" s="23" t="s">
        <v>104</v>
      </c>
      <c r="F38" s="18">
        <v>33</v>
      </c>
      <c r="G38" s="19" t="s">
        <v>174</v>
      </c>
      <c r="H38" s="21" t="s">
        <v>175</v>
      </c>
    </row>
    <row r="39" ht="21.75" customHeight="1" spans="1:8">
      <c r="A39" s="22" t="s">
        <v>176</v>
      </c>
      <c r="B39" s="18">
        <v>34</v>
      </c>
      <c r="C39" s="19" t="s">
        <v>177</v>
      </c>
      <c r="D39" s="19" t="s">
        <v>178</v>
      </c>
      <c r="E39" s="23" t="s">
        <v>110</v>
      </c>
      <c r="F39" s="18">
        <v>34</v>
      </c>
      <c r="G39" s="19" t="s">
        <v>179</v>
      </c>
      <c r="H39" s="21" t="s">
        <v>180</v>
      </c>
    </row>
    <row r="40" ht="21.75" customHeight="1" spans="1:8">
      <c r="A40" s="22" t="s">
        <v>181</v>
      </c>
      <c r="B40" s="18">
        <v>35</v>
      </c>
      <c r="C40" s="19" t="s">
        <v>182</v>
      </c>
      <c r="D40" s="19" t="s">
        <v>183</v>
      </c>
      <c r="E40" s="23" t="s">
        <v>184</v>
      </c>
      <c r="F40" s="18">
        <v>35</v>
      </c>
      <c r="G40" s="19" t="s">
        <v>185</v>
      </c>
      <c r="H40" s="21" t="s">
        <v>186</v>
      </c>
    </row>
    <row r="41" ht="21.6" customHeight="1" spans="1:8">
      <c r="A41" s="28" t="s">
        <v>187</v>
      </c>
      <c r="B41" s="18">
        <v>36</v>
      </c>
      <c r="C41" s="19">
        <f>SUM(C23:C40)</f>
        <v>0</v>
      </c>
      <c r="D41" s="19">
        <f>SUM(D23:D40)</f>
        <v>0</v>
      </c>
      <c r="E41" s="23" t="s">
        <v>188</v>
      </c>
      <c r="F41" s="18">
        <v>36</v>
      </c>
      <c r="G41" s="19" t="s">
        <v>189</v>
      </c>
      <c r="H41" s="21" t="s">
        <v>190</v>
      </c>
    </row>
    <row r="42" ht="18.75" customHeight="1" spans="1:8">
      <c r="A42" s="25"/>
      <c r="B42" s="18">
        <v>37</v>
      </c>
      <c r="C42" s="32"/>
      <c r="D42" s="32"/>
      <c r="E42" s="23" t="s">
        <v>191</v>
      </c>
      <c r="F42" s="18">
        <v>37</v>
      </c>
      <c r="G42" s="19" t="s">
        <v>192</v>
      </c>
      <c r="H42" s="21" t="s">
        <v>193</v>
      </c>
    </row>
    <row r="43" customHeight="1" spans="1:8">
      <c r="A43" s="25"/>
      <c r="B43" s="18">
        <v>38</v>
      </c>
      <c r="C43" s="32"/>
      <c r="D43" s="32"/>
      <c r="E43" s="23" t="s">
        <v>194</v>
      </c>
      <c r="F43" s="18">
        <v>38</v>
      </c>
      <c r="G43" s="19" t="s">
        <v>195</v>
      </c>
      <c r="H43" s="21" t="s">
        <v>196</v>
      </c>
    </row>
    <row r="44" ht="21.75" customHeight="1" spans="1:8">
      <c r="A44" s="22"/>
      <c r="B44" s="18">
        <v>39</v>
      </c>
      <c r="C44" s="19"/>
      <c r="D44" s="19"/>
      <c r="E44" s="23" t="s">
        <v>197</v>
      </c>
      <c r="F44" s="18">
        <v>39</v>
      </c>
      <c r="G44" s="19" t="s">
        <v>198</v>
      </c>
      <c r="H44" s="21" t="s">
        <v>199</v>
      </c>
    </row>
    <row r="45" ht="22.5" customHeight="1" spans="1:8">
      <c r="A45" s="22"/>
      <c r="B45" s="18">
        <v>40</v>
      </c>
      <c r="C45" s="19"/>
      <c r="D45" s="19"/>
      <c r="E45" s="33" t="s">
        <v>200</v>
      </c>
      <c r="F45" s="18">
        <v>40</v>
      </c>
      <c r="G45" s="34" t="s">
        <v>201</v>
      </c>
      <c r="H45" s="35" t="s">
        <v>202</v>
      </c>
    </row>
    <row r="46" ht="21.6" customHeight="1" spans="1:8">
      <c r="A46" s="36"/>
      <c r="B46" s="18">
        <v>41</v>
      </c>
      <c r="C46" s="19"/>
      <c r="D46" s="19"/>
      <c r="E46" s="20" t="s">
        <v>203</v>
      </c>
      <c r="F46" s="18">
        <v>41</v>
      </c>
      <c r="G46" s="19" t="e">
        <f>G36+G37+G40-G41+G42+G43+G44+G45</f>
        <v>#VALUE!</v>
      </c>
      <c r="H46" s="21" t="e">
        <f>H36+H37+H40-H41+H42+H43+H44+H45</f>
        <v>#VALUE!</v>
      </c>
    </row>
    <row r="47" ht="33.75" customHeight="1" spans="1:8">
      <c r="A47" s="38" t="s">
        <v>204</v>
      </c>
      <c r="B47" s="18">
        <v>42</v>
      </c>
      <c r="C47" s="40">
        <f>C41+C21</f>
        <v>0</v>
      </c>
      <c r="D47" s="40">
        <f>D41+D21</f>
        <v>0</v>
      </c>
      <c r="E47" s="41" t="s">
        <v>205</v>
      </c>
      <c r="F47" s="18">
        <v>42</v>
      </c>
      <c r="G47" s="42" t="e">
        <f>G46+G34</f>
        <v>#VALUE!</v>
      </c>
      <c r="H47" s="42" t="e">
        <f>H46+H34</f>
        <v>#VALUE!</v>
      </c>
    </row>
    <row r="48" ht="12.75" customHeight="1" spans="1:8">
      <c r="A48" s="43"/>
      <c r="B48" s="44"/>
      <c r="C48" s="45"/>
      <c r="D48" s="45"/>
      <c r="E48" s="43"/>
      <c r="F48" s="44"/>
      <c r="G48" s="45"/>
      <c r="H48" s="45"/>
    </row>
    <row r="49" ht="39" customHeight="1" spans="1:8">
      <c r="A49" s="46" t="s">
        <v>206</v>
      </c>
      <c r="B49" s="46"/>
      <c r="C49" s="47" t="s">
        <v>207</v>
      </c>
      <c r="D49" s="47"/>
      <c r="E49" s="46" t="s">
        <v>208</v>
      </c>
      <c r="F49" s="46"/>
      <c r="G49" s="47" t="s">
        <v>209</v>
      </c>
      <c r="H49" s="2"/>
    </row>
    <row r="50" customHeight="1" spans="1:8">
      <c r="A50" s="1"/>
      <c r="B50" s="1"/>
      <c r="C50" s="2"/>
      <c r="D50" s="2"/>
      <c r="E50" s="1"/>
      <c r="F50" s="1"/>
      <c r="G50" s="2"/>
      <c r="H50" s="2"/>
    </row>
  </sheetData>
  <printOptions horizontalCentered="1" verticalCentered="1"/>
  <pageMargins left="0.393700787401575" right="0.393700787401575" top="0.393700787401575" bottom="0.393700787401575" header="0" footer="0"/>
  <pageSetup paperSize="9" orientation="portrait" horizontalDpi="600" vertic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"/>
  <sheetViews>
    <sheetView zoomScaleSheetLayoutView="60" workbookViewId="0">
      <selection activeCell="A1" sqref="A1:H50"/>
    </sheetView>
  </sheetViews>
  <sheetFormatPr defaultColWidth="9.14814814814815" defaultRowHeight="15" outlineLevelCol="7"/>
  <cols>
    <col min="1" max="16384" width="9.14814814814815" customWidth="1"/>
  </cols>
  <sheetData>
    <row r="1" spans="1:8">
      <c r="A1" s="1"/>
      <c r="B1" s="1"/>
      <c r="C1" s="2"/>
      <c r="D1" s="2"/>
      <c r="E1" s="1"/>
      <c r="F1" s="1"/>
      <c r="G1" s="2"/>
      <c r="H1" s="2"/>
    </row>
    <row r="2" ht="31.5" spans="1:8">
      <c r="A2" s="4" t="s">
        <v>0</v>
      </c>
      <c r="B2" s="5"/>
      <c r="C2" s="6"/>
      <c r="D2" s="6"/>
      <c r="E2" s="5"/>
      <c r="F2" s="5"/>
      <c r="G2" s="6"/>
      <c r="H2" s="6"/>
    </row>
    <row r="3" spans="1:8">
      <c r="A3" s="7" t="s">
        <v>1</v>
      </c>
      <c r="B3" s="8"/>
      <c r="C3" s="9"/>
      <c r="D3" s="10" t="s">
        <v>2</v>
      </c>
      <c r="E3" s="8"/>
      <c r="F3" s="8"/>
      <c r="G3" s="9"/>
      <c r="H3" s="11" t="s">
        <v>3</v>
      </c>
    </row>
    <row r="4" ht="15.75" spans="1:8">
      <c r="A4" s="1" t="s">
        <v>4</v>
      </c>
      <c r="B4" s="1"/>
      <c r="C4" s="2"/>
      <c r="D4" s="2"/>
      <c r="E4" s="1"/>
      <c r="F4" s="1"/>
      <c r="G4" s="2"/>
      <c r="H4" s="11" t="s">
        <v>5</v>
      </c>
    </row>
    <row r="5" spans="1:8">
      <c r="A5" s="12" t="s">
        <v>6</v>
      </c>
      <c r="B5" s="13" t="s">
        <v>7</v>
      </c>
      <c r="C5" s="14" t="s">
        <v>8</v>
      </c>
      <c r="D5" s="14" t="s">
        <v>9</v>
      </c>
      <c r="E5" s="15" t="s">
        <v>10</v>
      </c>
      <c r="F5" s="13" t="s">
        <v>7</v>
      </c>
      <c r="G5" s="14" t="s">
        <v>8</v>
      </c>
      <c r="H5" s="16" t="s">
        <v>9</v>
      </c>
    </row>
    <row r="6" spans="1:8">
      <c r="A6" s="17" t="s">
        <v>11</v>
      </c>
      <c r="B6" s="18">
        <v>1</v>
      </c>
      <c r="C6" s="19"/>
      <c r="D6" s="19"/>
      <c r="E6" s="20" t="s">
        <v>12</v>
      </c>
      <c r="F6" s="18">
        <v>1</v>
      </c>
      <c r="G6" s="19"/>
      <c r="H6" s="21"/>
    </row>
    <row r="7" spans="1:8">
      <c r="A7" s="22" t="s">
        <v>13</v>
      </c>
      <c r="B7" s="18">
        <f>B6+1</f>
        <v>2</v>
      </c>
      <c r="C7" s="19" t="s">
        <v>14</v>
      </c>
      <c r="D7" s="19" t="s">
        <v>15</v>
      </c>
      <c r="E7" s="23" t="s">
        <v>16</v>
      </c>
      <c r="F7" s="18">
        <f>F6+1</f>
        <v>2</v>
      </c>
      <c r="G7" s="19" t="s">
        <v>17</v>
      </c>
      <c r="H7" s="21" t="s">
        <v>18</v>
      </c>
    </row>
    <row r="8" spans="1:8">
      <c r="A8" s="22" t="s">
        <v>19</v>
      </c>
      <c r="B8" s="18">
        <f>B7+1</f>
        <v>3</v>
      </c>
      <c r="C8" s="19" t="s">
        <v>20</v>
      </c>
      <c r="D8" s="19" t="s">
        <v>21</v>
      </c>
      <c r="E8" s="23" t="s">
        <v>22</v>
      </c>
      <c r="F8" s="18">
        <f>F7+1</f>
        <v>3</v>
      </c>
      <c r="G8" s="19" t="s">
        <v>23</v>
      </c>
      <c r="H8" s="21" t="s">
        <v>24</v>
      </c>
    </row>
    <row r="9" spans="1:8">
      <c r="A9" s="22" t="s">
        <v>25</v>
      </c>
      <c r="B9" s="18">
        <f>B8+1</f>
        <v>4</v>
      </c>
      <c r="C9" s="19" t="s">
        <v>26</v>
      </c>
      <c r="D9" s="19" t="s">
        <v>27</v>
      </c>
      <c r="E9" s="24" t="s">
        <v>28</v>
      </c>
      <c r="F9" s="18">
        <f>F8+1</f>
        <v>4</v>
      </c>
      <c r="G9" s="19" t="s">
        <v>29</v>
      </c>
      <c r="H9" s="21" t="s">
        <v>30</v>
      </c>
    </row>
    <row r="10" spans="1:8">
      <c r="A10" s="22" t="s">
        <v>31</v>
      </c>
      <c r="B10" s="18">
        <v>5</v>
      </c>
      <c r="C10" s="19" t="s">
        <v>32</v>
      </c>
      <c r="D10" s="19" t="s">
        <v>33</v>
      </c>
      <c r="E10" s="24" t="s">
        <v>34</v>
      </c>
      <c r="F10" s="18">
        <v>5</v>
      </c>
      <c r="G10" s="19" t="s">
        <v>35</v>
      </c>
      <c r="H10" s="21" t="s">
        <v>36</v>
      </c>
    </row>
    <row r="11" spans="1:8">
      <c r="A11" s="22" t="s">
        <v>37</v>
      </c>
      <c r="B11" s="18">
        <v>6</v>
      </c>
      <c r="C11" s="19" t="s">
        <v>38</v>
      </c>
      <c r="D11" s="19" t="s">
        <v>39</v>
      </c>
      <c r="E11" s="24" t="s">
        <v>40</v>
      </c>
      <c r="F11" s="18">
        <v>6</v>
      </c>
      <c r="G11" s="19" t="s">
        <v>41</v>
      </c>
      <c r="H11" s="21" t="s">
        <v>42</v>
      </c>
    </row>
    <row r="12" spans="1:8">
      <c r="A12" s="22" t="s">
        <v>43</v>
      </c>
      <c r="B12" s="18">
        <v>7</v>
      </c>
      <c r="C12" s="19"/>
      <c r="D12" s="19"/>
      <c r="E12" s="23" t="s">
        <v>44</v>
      </c>
      <c r="F12" s="18">
        <v>7</v>
      </c>
      <c r="G12" s="19" t="s">
        <v>45</v>
      </c>
      <c r="H12" s="21" t="s">
        <v>46</v>
      </c>
    </row>
    <row r="13" spans="1:8">
      <c r="A13" s="22" t="s">
        <v>47</v>
      </c>
      <c r="B13" s="18">
        <v>8</v>
      </c>
      <c r="C13" s="19" t="s">
        <v>48</v>
      </c>
      <c r="D13" s="19" t="s">
        <v>49</v>
      </c>
      <c r="E13" s="23" t="s">
        <v>50</v>
      </c>
      <c r="F13" s="18">
        <v>8</v>
      </c>
      <c r="G13" s="19" t="s">
        <v>51</v>
      </c>
      <c r="H13" s="21" t="s">
        <v>52</v>
      </c>
    </row>
    <row r="14" spans="1:8">
      <c r="A14" s="22" t="s">
        <v>53</v>
      </c>
      <c r="B14" s="18">
        <f t="shared" ref="B14:B26" si="0">B13+1</f>
        <v>9</v>
      </c>
      <c r="C14" s="19" t="s">
        <v>54</v>
      </c>
      <c r="D14" s="19" t="s">
        <v>55</v>
      </c>
      <c r="E14" s="23" t="s">
        <v>56</v>
      </c>
      <c r="F14" s="18">
        <f t="shared" ref="F14:F26" si="1">F13+1</f>
        <v>9</v>
      </c>
      <c r="G14" s="19" t="s">
        <v>57</v>
      </c>
      <c r="H14" s="21" t="s">
        <v>58</v>
      </c>
    </row>
    <row r="15" spans="1:8">
      <c r="A15" s="22" t="s">
        <v>59</v>
      </c>
      <c r="B15" s="18">
        <f t="shared" si="0"/>
        <v>10</v>
      </c>
      <c r="C15" s="19" t="s">
        <v>60</v>
      </c>
      <c r="D15" s="19" t="s">
        <v>61</v>
      </c>
      <c r="E15" s="23" t="s">
        <v>62</v>
      </c>
      <c r="F15" s="18">
        <f t="shared" si="1"/>
        <v>10</v>
      </c>
      <c r="G15" s="19" t="s">
        <v>63</v>
      </c>
      <c r="H15" s="21" t="s">
        <v>64</v>
      </c>
    </row>
    <row r="16" spans="1:8">
      <c r="A16" s="22" t="s">
        <v>65</v>
      </c>
      <c r="B16" s="18">
        <f t="shared" si="0"/>
        <v>11</v>
      </c>
      <c r="C16" s="19" t="s">
        <v>66</v>
      </c>
      <c r="D16" s="19" t="s">
        <v>67</v>
      </c>
      <c r="E16" s="23" t="s">
        <v>68</v>
      </c>
      <c r="F16" s="18">
        <f t="shared" si="1"/>
        <v>11</v>
      </c>
      <c r="G16" s="19" t="s">
        <v>69</v>
      </c>
      <c r="H16" s="21" t="s">
        <v>70</v>
      </c>
    </row>
    <row r="17" spans="1:8">
      <c r="A17" s="22" t="s">
        <v>71</v>
      </c>
      <c r="B17" s="18">
        <f t="shared" si="0"/>
        <v>12</v>
      </c>
      <c r="C17" s="19" t="s">
        <v>72</v>
      </c>
      <c r="D17" s="19" t="s">
        <v>73</v>
      </c>
      <c r="E17" s="23" t="s">
        <v>74</v>
      </c>
      <c r="F17" s="18">
        <f t="shared" si="1"/>
        <v>12</v>
      </c>
      <c r="G17" s="19" t="s">
        <v>75</v>
      </c>
      <c r="H17" s="21" t="s">
        <v>76</v>
      </c>
    </row>
    <row r="18" spans="1:8">
      <c r="A18" s="22" t="s">
        <v>77</v>
      </c>
      <c r="B18" s="18">
        <f t="shared" si="0"/>
        <v>13</v>
      </c>
      <c r="C18" s="19"/>
      <c r="D18" s="19"/>
      <c r="E18" s="23" t="s">
        <v>78</v>
      </c>
      <c r="F18" s="18">
        <f t="shared" si="1"/>
        <v>13</v>
      </c>
      <c r="G18" s="19"/>
      <c r="H18" s="21"/>
    </row>
    <row r="19" spans="1:8">
      <c r="A19" s="22" t="s">
        <v>79</v>
      </c>
      <c r="B19" s="18">
        <f t="shared" si="0"/>
        <v>14</v>
      </c>
      <c r="C19" s="19" t="s">
        <v>80</v>
      </c>
      <c r="D19" s="19" t="s">
        <v>81</v>
      </c>
      <c r="E19" s="23" t="s">
        <v>82</v>
      </c>
      <c r="F19" s="18">
        <f t="shared" si="1"/>
        <v>14</v>
      </c>
      <c r="G19" s="19" t="s">
        <v>83</v>
      </c>
      <c r="H19" s="21" t="s">
        <v>84</v>
      </c>
    </row>
    <row r="20" spans="1:8">
      <c r="A20" s="25"/>
      <c r="B20" s="18">
        <f t="shared" si="0"/>
        <v>15</v>
      </c>
      <c r="C20" s="19"/>
      <c r="D20" s="19"/>
      <c r="E20" s="26"/>
      <c r="F20" s="18">
        <f t="shared" si="1"/>
        <v>15</v>
      </c>
      <c r="G20" s="19"/>
      <c r="H20" s="27"/>
    </row>
    <row r="21" spans="1:8">
      <c r="A21" s="28" t="s">
        <v>85</v>
      </c>
      <c r="B21" s="18">
        <f t="shared" si="0"/>
        <v>16</v>
      </c>
      <c r="C21" s="19">
        <f>SUM(C7:C20)</f>
        <v>0</v>
      </c>
      <c r="D21" s="29">
        <f>SUM(D7:D20)</f>
        <v>0</v>
      </c>
      <c r="E21" s="30" t="s">
        <v>86</v>
      </c>
      <c r="F21" s="18">
        <f t="shared" si="1"/>
        <v>16</v>
      </c>
      <c r="G21" s="19">
        <f>SUM(G7:G20)</f>
        <v>0</v>
      </c>
      <c r="H21" s="31">
        <f>SUM(H7:H20)</f>
        <v>0</v>
      </c>
    </row>
    <row r="22" spans="1:8">
      <c r="A22" s="17" t="s">
        <v>87</v>
      </c>
      <c r="B22" s="18">
        <f t="shared" si="0"/>
        <v>17</v>
      </c>
      <c r="C22" s="19"/>
      <c r="D22" s="19"/>
      <c r="E22" s="20" t="s">
        <v>88</v>
      </c>
      <c r="F22" s="18">
        <f t="shared" si="1"/>
        <v>17</v>
      </c>
      <c r="G22" s="19"/>
      <c r="H22" s="21"/>
    </row>
    <row r="23" spans="1:8">
      <c r="A23" s="22" t="s">
        <v>89</v>
      </c>
      <c r="B23" s="18">
        <f t="shared" si="0"/>
        <v>18</v>
      </c>
      <c r="C23" s="19" t="s">
        <v>90</v>
      </c>
      <c r="D23" s="19" t="s">
        <v>91</v>
      </c>
      <c r="E23" s="23" t="s">
        <v>92</v>
      </c>
      <c r="F23" s="18">
        <f t="shared" si="1"/>
        <v>18</v>
      </c>
      <c r="G23" s="19" t="s">
        <v>93</v>
      </c>
      <c r="H23" s="21" t="s">
        <v>94</v>
      </c>
    </row>
    <row r="24" spans="1:8">
      <c r="A24" s="22" t="s">
        <v>95</v>
      </c>
      <c r="B24" s="18">
        <f t="shared" si="0"/>
        <v>19</v>
      </c>
      <c r="C24" s="19" t="s">
        <v>96</v>
      </c>
      <c r="D24" s="19" t="s">
        <v>97</v>
      </c>
      <c r="E24" s="23" t="s">
        <v>98</v>
      </c>
      <c r="F24" s="18">
        <f t="shared" si="1"/>
        <v>19</v>
      </c>
      <c r="G24" s="19" t="s">
        <v>99</v>
      </c>
      <c r="H24" s="21" t="s">
        <v>100</v>
      </c>
    </row>
    <row r="25" spans="1:8">
      <c r="A25" s="22" t="s">
        <v>101</v>
      </c>
      <c r="B25" s="18">
        <f t="shared" si="0"/>
        <v>20</v>
      </c>
      <c r="C25" s="19" t="s">
        <v>102</v>
      </c>
      <c r="D25" s="19" t="s">
        <v>103</v>
      </c>
      <c r="E25" s="23" t="s">
        <v>104</v>
      </c>
      <c r="F25" s="18">
        <f t="shared" si="1"/>
        <v>20</v>
      </c>
      <c r="G25" s="19" t="s">
        <v>105</v>
      </c>
      <c r="H25" s="21" t="s">
        <v>106</v>
      </c>
    </row>
    <row r="26" spans="1:8">
      <c r="A26" s="22" t="s">
        <v>107</v>
      </c>
      <c r="B26" s="18">
        <f t="shared" si="0"/>
        <v>21</v>
      </c>
      <c r="C26" s="19" t="s">
        <v>108</v>
      </c>
      <c r="D26" s="19" t="s">
        <v>109</v>
      </c>
      <c r="E26" s="23" t="s">
        <v>110</v>
      </c>
      <c r="F26" s="18">
        <f t="shared" si="1"/>
        <v>21</v>
      </c>
      <c r="G26" s="19" t="s">
        <v>111</v>
      </c>
      <c r="H26" s="21" t="s">
        <v>112</v>
      </c>
    </row>
    <row r="27" spans="1:8">
      <c r="A27" s="22" t="s">
        <v>113</v>
      </c>
      <c r="B27" s="18">
        <v>22</v>
      </c>
      <c r="C27" s="19" t="s">
        <v>114</v>
      </c>
      <c r="D27" s="19" t="s">
        <v>115</v>
      </c>
      <c r="E27" s="23" t="s">
        <v>116</v>
      </c>
      <c r="F27" s="18">
        <v>22</v>
      </c>
      <c r="G27" s="19" t="s">
        <v>117</v>
      </c>
      <c r="H27" s="21" t="s">
        <v>118</v>
      </c>
    </row>
    <row r="28" spans="1:8">
      <c r="A28" s="22" t="s">
        <v>119</v>
      </c>
      <c r="B28" s="18">
        <f t="shared" ref="B28:B42" si="2">B27+1</f>
        <v>23</v>
      </c>
      <c r="C28" s="19" t="s">
        <v>120</v>
      </c>
      <c r="D28" s="19" t="s">
        <v>121</v>
      </c>
      <c r="E28" s="23" t="s">
        <v>122</v>
      </c>
      <c r="F28" s="18">
        <v>23</v>
      </c>
      <c r="G28" s="19" t="s">
        <v>123</v>
      </c>
      <c r="H28" s="21" t="s">
        <v>124</v>
      </c>
    </row>
    <row r="29" spans="1:8">
      <c r="A29" s="22" t="s">
        <v>125</v>
      </c>
      <c r="B29" s="18">
        <f t="shared" si="2"/>
        <v>24</v>
      </c>
      <c r="C29" s="19" t="s">
        <v>126</v>
      </c>
      <c r="D29" s="19" t="s">
        <v>127</v>
      </c>
      <c r="E29" s="23" t="s">
        <v>128</v>
      </c>
      <c r="F29" s="18">
        <f t="shared" ref="F29:F42" si="3">F28+1</f>
        <v>24</v>
      </c>
      <c r="G29" s="19" t="s">
        <v>129</v>
      </c>
      <c r="H29" s="21" t="s">
        <v>130</v>
      </c>
    </row>
    <row r="30" spans="1:8">
      <c r="A30" s="22" t="s">
        <v>131</v>
      </c>
      <c r="B30" s="18">
        <f t="shared" si="2"/>
        <v>25</v>
      </c>
      <c r="C30" s="19" t="s">
        <v>132</v>
      </c>
      <c r="D30" s="19" t="s">
        <v>133</v>
      </c>
      <c r="E30" s="23" t="s">
        <v>134</v>
      </c>
      <c r="F30" s="18">
        <f t="shared" si="3"/>
        <v>25</v>
      </c>
      <c r="G30" s="19" t="s">
        <v>135</v>
      </c>
      <c r="H30" s="21" t="s">
        <v>136</v>
      </c>
    </row>
    <row r="31" spans="1:8">
      <c r="A31" s="22" t="s">
        <v>137</v>
      </c>
      <c r="B31" s="18">
        <f t="shared" si="2"/>
        <v>26</v>
      </c>
      <c r="C31" s="19" t="s">
        <v>138</v>
      </c>
      <c r="D31" s="19" t="s">
        <v>139</v>
      </c>
      <c r="E31" s="23" t="s">
        <v>140</v>
      </c>
      <c r="F31" s="18">
        <f t="shared" si="3"/>
        <v>26</v>
      </c>
      <c r="G31" s="19" t="s">
        <v>141</v>
      </c>
      <c r="H31" s="21" t="s">
        <v>142</v>
      </c>
    </row>
    <row r="32" spans="1:8">
      <c r="A32" s="22" t="s">
        <v>143</v>
      </c>
      <c r="B32" s="18">
        <f t="shared" si="2"/>
        <v>27</v>
      </c>
      <c r="C32" s="19" t="s">
        <v>144</v>
      </c>
      <c r="D32" s="19" t="s">
        <v>145</v>
      </c>
      <c r="E32" s="23" t="s">
        <v>146</v>
      </c>
      <c r="F32" s="18">
        <f t="shared" si="3"/>
        <v>27</v>
      </c>
      <c r="G32" s="19"/>
      <c r="H32" s="21"/>
    </row>
    <row r="33" spans="1:8">
      <c r="A33" s="22" t="s">
        <v>147</v>
      </c>
      <c r="B33" s="18">
        <f t="shared" si="2"/>
        <v>28</v>
      </c>
      <c r="C33" s="19" t="s">
        <v>148</v>
      </c>
      <c r="D33" s="19" t="s">
        <v>149</v>
      </c>
      <c r="E33" s="30" t="s">
        <v>150</v>
      </c>
      <c r="F33" s="18">
        <f t="shared" si="3"/>
        <v>28</v>
      </c>
      <c r="G33" s="19">
        <f>SUM(G23:G24)+SUM(G27:G32)</f>
        <v>0</v>
      </c>
      <c r="H33" s="31">
        <f>SUM(H23:H24)+SUM(H27:H32)</f>
        <v>0</v>
      </c>
    </row>
    <row r="34" spans="1:8">
      <c r="A34" s="22" t="s">
        <v>151</v>
      </c>
      <c r="B34" s="18">
        <f t="shared" si="2"/>
        <v>29</v>
      </c>
      <c r="C34" s="19" t="s">
        <v>152</v>
      </c>
      <c r="D34" s="19" t="s">
        <v>153</v>
      </c>
      <c r="E34" s="30" t="s">
        <v>154</v>
      </c>
      <c r="F34" s="18">
        <f t="shared" si="3"/>
        <v>29</v>
      </c>
      <c r="G34" s="19">
        <f>G33+G21</f>
        <v>0</v>
      </c>
      <c r="H34" s="31">
        <f>H33+H21</f>
        <v>0</v>
      </c>
    </row>
    <row r="35" spans="1:8">
      <c r="A35" s="22" t="s">
        <v>155</v>
      </c>
      <c r="B35" s="18">
        <f t="shared" si="2"/>
        <v>30</v>
      </c>
      <c r="C35" s="19" t="s">
        <v>156</v>
      </c>
      <c r="D35" s="19" t="s">
        <v>157</v>
      </c>
      <c r="E35" s="20" t="s">
        <v>158</v>
      </c>
      <c r="F35" s="18">
        <f t="shared" si="3"/>
        <v>30</v>
      </c>
      <c r="G35" s="19"/>
      <c r="H35" s="21"/>
    </row>
    <row r="36" spans="1:8">
      <c r="A36" s="22" t="s">
        <v>159</v>
      </c>
      <c r="B36" s="18">
        <f t="shared" si="2"/>
        <v>31</v>
      </c>
      <c r="C36" s="19" t="s">
        <v>160</v>
      </c>
      <c r="D36" s="19" t="s">
        <v>161</v>
      </c>
      <c r="E36" s="23" t="s">
        <v>162</v>
      </c>
      <c r="F36" s="18">
        <f t="shared" si="3"/>
        <v>31</v>
      </c>
      <c r="G36" s="19" t="s">
        <v>163</v>
      </c>
      <c r="H36" s="21" t="s">
        <v>164</v>
      </c>
    </row>
    <row r="37" spans="1:8">
      <c r="A37" s="22" t="s">
        <v>165</v>
      </c>
      <c r="B37" s="18">
        <f t="shared" si="2"/>
        <v>32</v>
      </c>
      <c r="C37" s="19" t="s">
        <v>166</v>
      </c>
      <c r="D37" s="19" t="s">
        <v>167</v>
      </c>
      <c r="E37" s="23" t="s">
        <v>168</v>
      </c>
      <c r="F37" s="18">
        <f t="shared" si="3"/>
        <v>32</v>
      </c>
      <c r="G37" s="19" t="s">
        <v>169</v>
      </c>
      <c r="H37" s="21" t="s">
        <v>170</v>
      </c>
    </row>
    <row r="38" spans="1:8">
      <c r="A38" s="22" t="s">
        <v>171</v>
      </c>
      <c r="B38" s="18">
        <f t="shared" si="2"/>
        <v>33</v>
      </c>
      <c r="C38" s="19" t="s">
        <v>172</v>
      </c>
      <c r="D38" s="19" t="s">
        <v>173</v>
      </c>
      <c r="E38" s="23" t="s">
        <v>104</v>
      </c>
      <c r="F38" s="18">
        <f t="shared" si="3"/>
        <v>33</v>
      </c>
      <c r="G38" s="19" t="s">
        <v>174</v>
      </c>
      <c r="H38" s="21" t="s">
        <v>175</v>
      </c>
    </row>
    <row r="39" spans="1:8">
      <c r="A39" s="22" t="s">
        <v>176</v>
      </c>
      <c r="B39" s="18">
        <f t="shared" si="2"/>
        <v>34</v>
      </c>
      <c r="C39" s="19" t="s">
        <v>177</v>
      </c>
      <c r="D39" s="19" t="s">
        <v>178</v>
      </c>
      <c r="E39" s="23" t="s">
        <v>110</v>
      </c>
      <c r="F39" s="18">
        <f t="shared" si="3"/>
        <v>34</v>
      </c>
      <c r="G39" s="19" t="s">
        <v>179</v>
      </c>
      <c r="H39" s="21" t="s">
        <v>180</v>
      </c>
    </row>
    <row r="40" spans="1:8">
      <c r="A40" s="22" t="s">
        <v>181</v>
      </c>
      <c r="B40" s="18">
        <f t="shared" si="2"/>
        <v>35</v>
      </c>
      <c r="C40" s="19" t="s">
        <v>182</v>
      </c>
      <c r="D40" s="19" t="s">
        <v>183</v>
      </c>
      <c r="E40" s="23" t="s">
        <v>184</v>
      </c>
      <c r="F40" s="18">
        <f t="shared" si="3"/>
        <v>35</v>
      </c>
      <c r="G40" s="19" t="s">
        <v>185</v>
      </c>
      <c r="H40" s="21" t="s">
        <v>186</v>
      </c>
    </row>
    <row r="41" spans="1:8">
      <c r="A41" s="28" t="s">
        <v>187</v>
      </c>
      <c r="B41" s="18">
        <f t="shared" si="2"/>
        <v>36</v>
      </c>
      <c r="C41" s="19">
        <f>SUM(C23:C40)</f>
        <v>0</v>
      </c>
      <c r="D41" s="19">
        <f>SUM(D23:D40)</f>
        <v>0</v>
      </c>
      <c r="E41" s="23" t="s">
        <v>188</v>
      </c>
      <c r="F41" s="18">
        <f t="shared" si="3"/>
        <v>36</v>
      </c>
      <c r="G41" s="19" t="s">
        <v>189</v>
      </c>
      <c r="H41" s="21" t="s">
        <v>190</v>
      </c>
    </row>
    <row r="42" spans="1:8">
      <c r="A42" s="25"/>
      <c r="B42" s="18">
        <f t="shared" si="2"/>
        <v>37</v>
      </c>
      <c r="C42" s="32"/>
      <c r="D42" s="32"/>
      <c r="E42" s="23" t="s">
        <v>191</v>
      </c>
      <c r="F42" s="18">
        <f t="shared" si="3"/>
        <v>37</v>
      </c>
      <c r="G42" s="19" t="s">
        <v>192</v>
      </c>
      <c r="H42" s="21" t="s">
        <v>193</v>
      </c>
    </row>
    <row r="43" spans="1:8">
      <c r="A43" s="25"/>
      <c r="B43" s="18">
        <v>37</v>
      </c>
      <c r="C43" s="32"/>
      <c r="D43" s="32"/>
      <c r="E43" s="23" t="s">
        <v>194</v>
      </c>
      <c r="F43" s="18">
        <v>37</v>
      </c>
      <c r="G43" s="19" t="s">
        <v>195</v>
      </c>
      <c r="H43" s="21" t="s">
        <v>196</v>
      </c>
    </row>
    <row r="44" spans="1:8">
      <c r="A44" s="22"/>
      <c r="B44" s="18">
        <v>38</v>
      </c>
      <c r="C44" s="19"/>
      <c r="D44" s="19"/>
      <c r="E44" s="23" t="s">
        <v>197</v>
      </c>
      <c r="F44" s="18">
        <v>38</v>
      </c>
      <c r="G44" s="19" t="s">
        <v>198</v>
      </c>
      <c r="H44" s="21" t="s">
        <v>199</v>
      </c>
    </row>
    <row r="45" spans="1:8">
      <c r="A45" s="22"/>
      <c r="B45" s="18">
        <f>B44+1</f>
        <v>39</v>
      </c>
      <c r="C45" s="19"/>
      <c r="D45" s="19"/>
      <c r="E45" s="33" t="s">
        <v>200</v>
      </c>
      <c r="F45" s="18">
        <f>F44+1</f>
        <v>39</v>
      </c>
      <c r="G45" s="34" t="s">
        <v>201</v>
      </c>
      <c r="H45" s="35" t="s">
        <v>202</v>
      </c>
    </row>
    <row r="46" spans="1:8">
      <c r="A46" s="36"/>
      <c r="B46" s="18">
        <f>B45+1</f>
        <v>40</v>
      </c>
      <c r="C46" s="19"/>
      <c r="D46" s="19"/>
      <c r="E46" s="20" t="s">
        <v>203</v>
      </c>
      <c r="F46" s="37">
        <f>F45+1</f>
        <v>40</v>
      </c>
      <c r="G46" s="19" t="e">
        <f>G36+G37+G40-G41+G42+G43+G44+G45</f>
        <v>#VALUE!</v>
      </c>
      <c r="H46" s="21" t="e">
        <f>H36+H37+H40-H41+H42+H43+H44+H45</f>
        <v>#VALUE!</v>
      </c>
    </row>
    <row r="47" ht="72" spans="1:8">
      <c r="A47" s="38" t="s">
        <v>204</v>
      </c>
      <c r="B47" s="39">
        <f>B46+1</f>
        <v>41</v>
      </c>
      <c r="C47" s="40">
        <f>C41+C21</f>
        <v>0</v>
      </c>
      <c r="D47" s="40">
        <f>D41+D21</f>
        <v>0</v>
      </c>
      <c r="E47" s="41" t="s">
        <v>205</v>
      </c>
      <c r="F47" s="39">
        <f>F46+1</f>
        <v>41</v>
      </c>
      <c r="G47" s="42" t="e">
        <f>G46+G34</f>
        <v>#VALUE!</v>
      </c>
      <c r="H47" s="42" t="e">
        <f>H46+H34</f>
        <v>#VALUE!</v>
      </c>
    </row>
    <row r="48" spans="1:8">
      <c r="A48" s="43"/>
      <c r="B48" s="44"/>
      <c r="C48" s="45"/>
      <c r="D48" s="45"/>
      <c r="E48" s="43"/>
      <c r="F48" s="44"/>
      <c r="G48" s="45"/>
      <c r="H48" s="45"/>
    </row>
    <row r="49" spans="1:8">
      <c r="A49" s="46" t="s">
        <v>206</v>
      </c>
      <c r="B49" s="46"/>
      <c r="C49" s="47" t="s">
        <v>207</v>
      </c>
      <c r="D49" s="47"/>
      <c r="E49" s="46" t="s">
        <v>208</v>
      </c>
      <c r="F49" s="46"/>
      <c r="G49" s="47" t="s">
        <v>209</v>
      </c>
      <c r="H49" s="2"/>
    </row>
    <row r="50" spans="1:8">
      <c r="A50" s="1"/>
      <c r="B50" s="1"/>
      <c r="C50" s="2"/>
      <c r="D50" s="2"/>
      <c r="E50" s="1"/>
      <c r="F50" s="1"/>
      <c r="G50" s="2"/>
      <c r="H50" s="2"/>
    </row>
  </sheetData>
  <printOptions gridLines="1"/>
  <pageMargins left="0.75" right="0.75" top="1" bottom="1" header="0.5" footer="0.5"/>
  <headerFooter alignWithMargins="0" scaleWithDoc="0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0"/>
  <sheetViews>
    <sheetView showOutlineSymbols="0" zoomScaleSheetLayoutView="60" workbookViewId="0">
      <selection activeCell="A1" sqref="A1:H46"/>
    </sheetView>
  </sheetViews>
  <sheetFormatPr defaultColWidth="9.14814814814815" defaultRowHeight="17" customHeight="1"/>
  <cols>
    <col min="1" max="16384" width="9.14814814814815" customWidth="1"/>
  </cols>
  <sheetData>
    <row r="1" customHeight="1" spans="1:21">
      <c r="A1" s="1"/>
      <c r="B1" s="1"/>
      <c r="C1" s="2"/>
      <c r="D1" s="2"/>
      <c r="E1" s="1"/>
      <c r="F1" s="1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customHeight="1" spans="1:21">
      <c r="A2" s="4" t="s">
        <v>0</v>
      </c>
      <c r="B2" s="5"/>
      <c r="C2" s="6"/>
      <c r="D2" s="6"/>
      <c r="E2" s="5"/>
      <c r="F2" s="5"/>
      <c r="G2" s="6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customHeight="1" spans="1:21">
      <c r="A3" s="7" t="s">
        <v>210</v>
      </c>
      <c r="B3" s="8"/>
      <c r="C3" s="9"/>
      <c r="D3" s="10" t="s">
        <v>211</v>
      </c>
      <c r="E3" s="8"/>
      <c r="F3" s="8"/>
      <c r="G3" s="9"/>
      <c r="H3" s="11" t="s">
        <v>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customHeight="1" spans="1:21">
      <c r="A4" s="1" t="s">
        <v>4</v>
      </c>
      <c r="B4" s="1"/>
      <c r="C4" s="2"/>
      <c r="D4" s="2"/>
      <c r="E4" s="1"/>
      <c r="F4" s="1"/>
      <c r="G4" s="2"/>
      <c r="H4" s="11" t="s">
        <v>5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customHeight="1" spans="1:21">
      <c r="A5" s="12" t="s">
        <v>6</v>
      </c>
      <c r="B5" s="13" t="s">
        <v>7</v>
      </c>
      <c r="C5" s="14" t="s">
        <v>8</v>
      </c>
      <c r="D5" s="14" t="s">
        <v>9</v>
      </c>
      <c r="E5" s="15" t="s">
        <v>10</v>
      </c>
      <c r="F5" s="13" t="s">
        <v>7</v>
      </c>
      <c r="G5" s="14" t="s">
        <v>8</v>
      </c>
      <c r="H5" s="16" t="s">
        <v>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customHeight="1" spans="1:21">
      <c r="A6" s="17" t="s">
        <v>11</v>
      </c>
      <c r="B6" s="18">
        <v>1</v>
      </c>
      <c r="C6" s="19"/>
      <c r="D6" s="19"/>
      <c r="E6" s="20" t="s">
        <v>12</v>
      </c>
      <c r="F6" s="18">
        <v>1</v>
      </c>
      <c r="G6" s="19"/>
      <c r="H6" s="21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customHeight="1" spans="1:21">
      <c r="A7" s="22" t="s">
        <v>13</v>
      </c>
      <c r="B7" s="18">
        <f>B6+1</f>
        <v>2</v>
      </c>
      <c r="C7" s="19">
        <f>0</f>
        <v>0</v>
      </c>
      <c r="D7" s="19">
        <f>0</f>
        <v>0</v>
      </c>
      <c r="E7" s="23" t="s">
        <v>16</v>
      </c>
      <c r="F7" s="18">
        <f>F6+1</f>
        <v>2</v>
      </c>
      <c r="G7" s="19">
        <f t="shared" ref="G7:G17" si="0">0</f>
        <v>0</v>
      </c>
      <c r="H7" s="21">
        <f t="shared" ref="H7:H17" si="1">0</f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customHeight="1" spans="1:21">
      <c r="A8" s="22" t="s">
        <v>19</v>
      </c>
      <c r="B8" s="18">
        <f>B7+1</f>
        <v>3</v>
      </c>
      <c r="C8" s="19">
        <f>0</f>
        <v>0</v>
      </c>
      <c r="D8" s="19">
        <f>0</f>
        <v>0</v>
      </c>
      <c r="E8" s="23" t="s">
        <v>22</v>
      </c>
      <c r="F8" s="18">
        <f>F7+1</f>
        <v>3</v>
      </c>
      <c r="G8" s="19">
        <f t="shared" si="0"/>
        <v>0</v>
      </c>
      <c r="H8" s="21">
        <f t="shared" si="1"/>
        <v>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customHeight="1" spans="1:21">
      <c r="A9" s="22" t="s">
        <v>25</v>
      </c>
      <c r="B9" s="18">
        <f>B8+1</f>
        <v>4</v>
      </c>
      <c r="C9" s="19">
        <f>0</f>
        <v>0</v>
      </c>
      <c r="D9" s="19">
        <f>0</f>
        <v>0</v>
      </c>
      <c r="E9" s="24" t="s">
        <v>28</v>
      </c>
      <c r="F9" s="18">
        <f>F8+1</f>
        <v>4</v>
      </c>
      <c r="G9" s="19">
        <f t="shared" si="0"/>
        <v>0</v>
      </c>
      <c r="H9" s="21">
        <f t="shared" si="1"/>
        <v>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customHeight="1" spans="1:21">
      <c r="A10" s="22" t="s">
        <v>31</v>
      </c>
      <c r="B10" s="18">
        <v>5</v>
      </c>
      <c r="C10" s="19">
        <f>0</f>
        <v>0</v>
      </c>
      <c r="D10" s="19">
        <f>0</f>
        <v>0</v>
      </c>
      <c r="E10" s="24" t="s">
        <v>34</v>
      </c>
      <c r="F10" s="18">
        <v>5</v>
      </c>
      <c r="G10" s="19">
        <f t="shared" si="0"/>
        <v>0</v>
      </c>
      <c r="H10" s="21">
        <f t="shared" si="1"/>
        <v>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customHeight="1" spans="1:21">
      <c r="A11" s="22" t="s">
        <v>37</v>
      </c>
      <c r="B11" s="18">
        <v>6</v>
      </c>
      <c r="C11" s="19">
        <f>0</f>
        <v>0</v>
      </c>
      <c r="D11" s="19">
        <f>0</f>
        <v>0</v>
      </c>
      <c r="E11" s="24" t="s">
        <v>40</v>
      </c>
      <c r="F11" s="18">
        <v>6</v>
      </c>
      <c r="G11" s="19">
        <f t="shared" si="0"/>
        <v>0</v>
      </c>
      <c r="H11" s="21">
        <f t="shared" si="1"/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customHeight="1" spans="1:21">
      <c r="A12" s="22" t="s">
        <v>43</v>
      </c>
      <c r="B12" s="18">
        <v>7</v>
      </c>
      <c r="C12" s="19"/>
      <c r="D12" s="19"/>
      <c r="E12" s="23" t="s">
        <v>44</v>
      </c>
      <c r="F12" s="18">
        <v>7</v>
      </c>
      <c r="G12" s="19">
        <f t="shared" si="0"/>
        <v>0</v>
      </c>
      <c r="H12" s="21">
        <f t="shared" si="1"/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customHeight="1" spans="1:21">
      <c r="A13" s="22" t="s">
        <v>47</v>
      </c>
      <c r="B13" s="18">
        <v>8</v>
      </c>
      <c r="C13" s="19">
        <f>0</f>
        <v>0</v>
      </c>
      <c r="D13" s="19">
        <f>0</f>
        <v>0</v>
      </c>
      <c r="E13" s="23" t="s">
        <v>50</v>
      </c>
      <c r="F13" s="18">
        <v>8</v>
      </c>
      <c r="G13" s="19">
        <f t="shared" si="0"/>
        <v>0</v>
      </c>
      <c r="H13" s="21">
        <f t="shared" si="1"/>
        <v>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customHeight="1" spans="1:21">
      <c r="A14" s="22" t="s">
        <v>53</v>
      </c>
      <c r="B14" s="18">
        <f t="shared" ref="B14:B26" si="2">B13+1</f>
        <v>9</v>
      </c>
      <c r="C14" s="19">
        <f>0</f>
        <v>0</v>
      </c>
      <c r="D14" s="19">
        <f>0</f>
        <v>0</v>
      </c>
      <c r="E14" s="23" t="s">
        <v>56</v>
      </c>
      <c r="F14" s="18">
        <f t="shared" ref="F14:F26" si="3">F13+1</f>
        <v>9</v>
      </c>
      <c r="G14" s="19">
        <f t="shared" si="0"/>
        <v>0</v>
      </c>
      <c r="H14" s="21">
        <f t="shared" si="1"/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customHeight="1" spans="1:21">
      <c r="A15" s="22" t="s">
        <v>59</v>
      </c>
      <c r="B15" s="18">
        <f t="shared" si="2"/>
        <v>10</v>
      </c>
      <c r="C15" s="19">
        <f>0</f>
        <v>0</v>
      </c>
      <c r="D15" s="19">
        <f>0</f>
        <v>0</v>
      </c>
      <c r="E15" s="23" t="s">
        <v>62</v>
      </c>
      <c r="F15" s="18">
        <f t="shared" si="3"/>
        <v>10</v>
      </c>
      <c r="G15" s="19">
        <f t="shared" si="0"/>
        <v>0</v>
      </c>
      <c r="H15" s="21">
        <f t="shared" si="1"/>
        <v>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customHeight="1" spans="1:21">
      <c r="A16" s="22" t="s">
        <v>65</v>
      </c>
      <c r="B16" s="18">
        <f t="shared" si="2"/>
        <v>11</v>
      </c>
      <c r="C16" s="19">
        <f>0</f>
        <v>0</v>
      </c>
      <c r="D16" s="19">
        <f>0</f>
        <v>0</v>
      </c>
      <c r="E16" s="23" t="s">
        <v>68</v>
      </c>
      <c r="F16" s="18">
        <f t="shared" si="3"/>
        <v>11</v>
      </c>
      <c r="G16" s="19">
        <f t="shared" si="0"/>
        <v>0</v>
      </c>
      <c r="H16" s="21">
        <f t="shared" si="1"/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customHeight="1" spans="1:20">
      <c r="A17" s="22" t="s">
        <v>71</v>
      </c>
      <c r="B17" s="18">
        <f t="shared" si="2"/>
        <v>12</v>
      </c>
      <c r="C17" s="19">
        <f>0</f>
        <v>0</v>
      </c>
      <c r="D17" s="19">
        <f>0</f>
        <v>0</v>
      </c>
      <c r="E17" s="23" t="s">
        <v>74</v>
      </c>
      <c r="F17" s="18">
        <f t="shared" si="3"/>
        <v>12</v>
      </c>
      <c r="G17" s="19">
        <f t="shared" si="0"/>
        <v>0</v>
      </c>
      <c r="H17" s="21">
        <f t="shared" si="1"/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customHeight="1" spans="1:20">
      <c r="A18" s="22" t="s">
        <v>77</v>
      </c>
      <c r="B18" s="18">
        <f t="shared" si="2"/>
        <v>13</v>
      </c>
      <c r="C18" s="19"/>
      <c r="D18" s="19"/>
      <c r="E18" s="23" t="s">
        <v>78</v>
      </c>
      <c r="F18" s="18">
        <f t="shared" si="3"/>
        <v>13</v>
      </c>
      <c r="G18" s="19"/>
      <c r="H18" s="21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customHeight="1" spans="1:20">
      <c r="A19" s="22" t="s">
        <v>79</v>
      </c>
      <c r="B19" s="18">
        <f t="shared" si="2"/>
        <v>14</v>
      </c>
      <c r="C19" s="19">
        <f>0</f>
        <v>0</v>
      </c>
      <c r="D19" s="19">
        <f>0</f>
        <v>0</v>
      </c>
      <c r="E19" s="23" t="s">
        <v>82</v>
      </c>
      <c r="F19" s="18">
        <f t="shared" si="3"/>
        <v>14</v>
      </c>
      <c r="G19" s="19">
        <f>0</f>
        <v>0</v>
      </c>
      <c r="H19" s="21">
        <f>0</f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customHeight="1" spans="1:20">
      <c r="A20" s="25"/>
      <c r="B20" s="18">
        <f t="shared" si="2"/>
        <v>15</v>
      </c>
      <c r="C20" s="19"/>
      <c r="D20" s="19"/>
      <c r="E20" s="26"/>
      <c r="F20" s="18">
        <f t="shared" si="3"/>
        <v>15</v>
      </c>
      <c r="G20" s="19"/>
      <c r="H20" s="2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customHeight="1" spans="1:20">
      <c r="A21" s="28" t="s">
        <v>85</v>
      </c>
      <c r="B21" s="18">
        <f t="shared" si="2"/>
        <v>16</v>
      </c>
      <c r="C21" s="19">
        <f>SUM(C7:C20)</f>
        <v>0</v>
      </c>
      <c r="D21" s="29">
        <f>SUM(D7:D20)</f>
        <v>0</v>
      </c>
      <c r="E21" s="30" t="s">
        <v>86</v>
      </c>
      <c r="F21" s="18">
        <f t="shared" si="3"/>
        <v>16</v>
      </c>
      <c r="G21" s="19">
        <f>SUM(G7:G20)</f>
        <v>0</v>
      </c>
      <c r="H21" s="31">
        <f>SUM(H7:H20)</f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customHeight="1" spans="1:20">
      <c r="A22" s="17" t="s">
        <v>87</v>
      </c>
      <c r="B22" s="18">
        <f t="shared" si="2"/>
        <v>17</v>
      </c>
      <c r="C22" s="19"/>
      <c r="D22" s="19"/>
      <c r="E22" s="20" t="s">
        <v>88</v>
      </c>
      <c r="F22" s="18">
        <f t="shared" si="3"/>
        <v>17</v>
      </c>
      <c r="G22" s="19"/>
      <c r="H22" s="21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customHeight="1" spans="1:20">
      <c r="A23" s="22" t="s">
        <v>89</v>
      </c>
      <c r="B23" s="18">
        <f t="shared" si="2"/>
        <v>18</v>
      </c>
      <c r="C23" s="19">
        <f t="shared" ref="C23:C40" si="4">0</f>
        <v>0</v>
      </c>
      <c r="D23" s="19">
        <f t="shared" ref="D23:D40" si="5">0</f>
        <v>0</v>
      </c>
      <c r="E23" s="23" t="s">
        <v>92</v>
      </c>
      <c r="F23" s="18">
        <f t="shared" si="3"/>
        <v>18</v>
      </c>
      <c r="G23" s="19">
        <f t="shared" ref="G23:G31" si="6">0</f>
        <v>0</v>
      </c>
      <c r="H23" s="21">
        <f t="shared" ref="H23:H31" si="7">0</f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customHeight="1" spans="1:20">
      <c r="A24" s="22" t="s">
        <v>95</v>
      </c>
      <c r="B24" s="18">
        <f t="shared" si="2"/>
        <v>19</v>
      </c>
      <c r="C24" s="19">
        <f t="shared" si="4"/>
        <v>0</v>
      </c>
      <c r="D24" s="19">
        <f t="shared" si="5"/>
        <v>0</v>
      </c>
      <c r="E24" s="23" t="s">
        <v>98</v>
      </c>
      <c r="F24" s="18">
        <f t="shared" si="3"/>
        <v>19</v>
      </c>
      <c r="G24" s="19">
        <f t="shared" si="6"/>
        <v>0</v>
      </c>
      <c r="H24" s="21">
        <f t="shared" si="7"/>
        <v>0</v>
      </c>
    </row>
    <row r="25" customHeight="1" spans="1:20">
      <c r="A25" s="22" t="s">
        <v>101</v>
      </c>
      <c r="B25" s="18">
        <f t="shared" si="2"/>
        <v>20</v>
      </c>
      <c r="C25" s="19">
        <f t="shared" si="4"/>
        <v>0</v>
      </c>
      <c r="D25" s="19">
        <f t="shared" si="5"/>
        <v>0</v>
      </c>
      <c r="E25" s="23" t="s">
        <v>104</v>
      </c>
      <c r="F25" s="18">
        <f t="shared" si="3"/>
        <v>20</v>
      </c>
      <c r="G25" s="19">
        <f t="shared" si="6"/>
        <v>0</v>
      </c>
      <c r="H25" s="21">
        <f t="shared" si="7"/>
        <v>0</v>
      </c>
    </row>
    <row r="26" customHeight="1" spans="1:20">
      <c r="A26" s="22" t="s">
        <v>107</v>
      </c>
      <c r="B26" s="18">
        <f t="shared" si="2"/>
        <v>21</v>
      </c>
      <c r="C26" s="19">
        <f t="shared" si="4"/>
        <v>0</v>
      </c>
      <c r="D26" s="19">
        <f t="shared" si="5"/>
        <v>0</v>
      </c>
      <c r="E26" s="23" t="s">
        <v>110</v>
      </c>
      <c r="F26" s="18">
        <f t="shared" si="3"/>
        <v>21</v>
      </c>
      <c r="G26" s="19">
        <f t="shared" si="6"/>
        <v>0</v>
      </c>
      <c r="H26" s="21">
        <f t="shared" si="7"/>
        <v>0</v>
      </c>
    </row>
    <row r="27" customHeight="1" spans="1:20">
      <c r="A27" s="22" t="s">
        <v>113</v>
      </c>
      <c r="B27" s="18">
        <v>22</v>
      </c>
      <c r="C27" s="19">
        <f t="shared" si="4"/>
        <v>0</v>
      </c>
      <c r="D27" s="19">
        <f t="shared" si="5"/>
        <v>0</v>
      </c>
      <c r="E27" s="23" t="s">
        <v>116</v>
      </c>
      <c r="F27" s="18">
        <v>22</v>
      </c>
      <c r="G27" s="19">
        <f t="shared" si="6"/>
        <v>0</v>
      </c>
      <c r="H27" s="21">
        <f t="shared" si="7"/>
        <v>0</v>
      </c>
    </row>
    <row r="28" customHeight="1" spans="1:20">
      <c r="A28" s="22" t="s">
        <v>119</v>
      </c>
      <c r="B28" s="18">
        <f t="shared" ref="B28:B42" si="8">B27+1</f>
        <v>23</v>
      </c>
      <c r="C28" s="19">
        <f t="shared" si="4"/>
        <v>0</v>
      </c>
      <c r="D28" s="19">
        <f t="shared" si="5"/>
        <v>0</v>
      </c>
      <c r="E28" s="23" t="s">
        <v>122</v>
      </c>
      <c r="F28" s="18">
        <v>23</v>
      </c>
      <c r="G28" s="19">
        <f t="shared" si="6"/>
        <v>0</v>
      </c>
      <c r="H28" s="21">
        <f t="shared" si="7"/>
        <v>0</v>
      </c>
    </row>
    <row r="29" customHeight="1" spans="1:20">
      <c r="A29" s="22" t="s">
        <v>125</v>
      </c>
      <c r="B29" s="18">
        <f t="shared" si="8"/>
        <v>24</v>
      </c>
      <c r="C29" s="19">
        <f t="shared" si="4"/>
        <v>0</v>
      </c>
      <c r="D29" s="19">
        <f t="shared" si="5"/>
        <v>0</v>
      </c>
      <c r="E29" s="23" t="s">
        <v>128</v>
      </c>
      <c r="F29" s="18">
        <f t="shared" ref="F29:F42" si="9">F28+1</f>
        <v>24</v>
      </c>
      <c r="G29" s="19">
        <f t="shared" si="6"/>
        <v>0</v>
      </c>
      <c r="H29" s="21">
        <f t="shared" si="7"/>
        <v>0</v>
      </c>
    </row>
    <row r="30" customHeight="1" spans="1:20">
      <c r="A30" s="22" t="s">
        <v>131</v>
      </c>
      <c r="B30" s="18">
        <f t="shared" si="8"/>
        <v>25</v>
      </c>
      <c r="C30" s="19">
        <f t="shared" si="4"/>
        <v>0</v>
      </c>
      <c r="D30" s="19">
        <f t="shared" si="5"/>
        <v>0</v>
      </c>
      <c r="E30" s="23" t="s">
        <v>134</v>
      </c>
      <c r="F30" s="18">
        <f t="shared" si="9"/>
        <v>25</v>
      </c>
      <c r="G30" s="19">
        <f t="shared" si="6"/>
        <v>0</v>
      </c>
      <c r="H30" s="21">
        <f t="shared" si="7"/>
        <v>0</v>
      </c>
    </row>
    <row r="31" customHeight="1" spans="1:20">
      <c r="A31" s="22" t="s">
        <v>137</v>
      </c>
      <c r="B31" s="18">
        <f t="shared" si="8"/>
        <v>26</v>
      </c>
      <c r="C31" s="19">
        <f t="shared" si="4"/>
        <v>0</v>
      </c>
      <c r="D31" s="19">
        <f t="shared" si="5"/>
        <v>0</v>
      </c>
      <c r="E31" s="23" t="s">
        <v>140</v>
      </c>
      <c r="F31" s="18">
        <f t="shared" si="9"/>
        <v>26</v>
      </c>
      <c r="G31" s="19">
        <f t="shared" si="6"/>
        <v>0</v>
      </c>
      <c r="H31" s="21">
        <f t="shared" si="7"/>
        <v>0</v>
      </c>
    </row>
    <row r="32" customHeight="1" spans="1:20">
      <c r="A32" s="22" t="s">
        <v>143</v>
      </c>
      <c r="B32" s="18">
        <f t="shared" si="8"/>
        <v>27</v>
      </c>
      <c r="C32" s="19">
        <f t="shared" si="4"/>
        <v>0</v>
      </c>
      <c r="D32" s="19">
        <f t="shared" si="5"/>
        <v>0</v>
      </c>
      <c r="E32" s="23" t="s">
        <v>146</v>
      </c>
      <c r="F32" s="18">
        <f t="shared" si="9"/>
        <v>27</v>
      </c>
      <c r="G32" s="19"/>
      <c r="H32" s="21"/>
    </row>
    <row r="33" customHeight="1" spans="1:8">
      <c r="A33" s="22" t="s">
        <v>147</v>
      </c>
      <c r="B33" s="18">
        <f t="shared" si="8"/>
        <v>28</v>
      </c>
      <c r="C33" s="19">
        <f t="shared" si="4"/>
        <v>0</v>
      </c>
      <c r="D33" s="19">
        <f t="shared" si="5"/>
        <v>0</v>
      </c>
      <c r="E33" s="30" t="s">
        <v>150</v>
      </c>
      <c r="F33" s="18">
        <f t="shared" si="9"/>
        <v>28</v>
      </c>
      <c r="G33" s="19">
        <f>SUM(G23:G24)+SUM(G27:G32)</f>
        <v>0</v>
      </c>
      <c r="H33" s="31">
        <f>SUM(H23:H24)+SUM(H27:H32)</f>
        <v>0</v>
      </c>
    </row>
    <row r="34" customHeight="1" spans="1:8">
      <c r="A34" s="22" t="s">
        <v>151</v>
      </c>
      <c r="B34" s="18">
        <f t="shared" si="8"/>
        <v>29</v>
      </c>
      <c r="C34" s="19">
        <f t="shared" si="4"/>
        <v>0</v>
      </c>
      <c r="D34" s="19">
        <f t="shared" si="5"/>
        <v>0</v>
      </c>
      <c r="E34" s="30" t="s">
        <v>154</v>
      </c>
      <c r="F34" s="18">
        <f t="shared" si="9"/>
        <v>29</v>
      </c>
      <c r="G34" s="19">
        <f>G33+G21</f>
        <v>0</v>
      </c>
      <c r="H34" s="31">
        <f>H33+H21</f>
        <v>0</v>
      </c>
    </row>
    <row r="35" customHeight="1" spans="1:8">
      <c r="A35" s="22" t="s">
        <v>155</v>
      </c>
      <c r="B35" s="18">
        <f t="shared" si="8"/>
        <v>30</v>
      </c>
      <c r="C35" s="19">
        <f t="shared" si="4"/>
        <v>0</v>
      </c>
      <c r="D35" s="19">
        <f t="shared" si="5"/>
        <v>0</v>
      </c>
      <c r="E35" s="20" t="s">
        <v>158</v>
      </c>
      <c r="F35" s="18">
        <f t="shared" si="9"/>
        <v>30</v>
      </c>
      <c r="G35" s="19"/>
      <c r="H35" s="21"/>
    </row>
    <row r="36" customHeight="1" spans="1:8">
      <c r="A36" s="22" t="s">
        <v>159</v>
      </c>
      <c r="B36" s="18">
        <f t="shared" si="8"/>
        <v>31</v>
      </c>
      <c r="C36" s="19">
        <f t="shared" si="4"/>
        <v>0</v>
      </c>
      <c r="D36" s="19">
        <f t="shared" si="5"/>
        <v>0</v>
      </c>
      <c r="E36" s="23" t="s">
        <v>162</v>
      </c>
      <c r="F36" s="18">
        <f t="shared" si="9"/>
        <v>31</v>
      </c>
      <c r="G36" s="19">
        <f t="shared" ref="G36:G45" si="10">0</f>
        <v>0</v>
      </c>
      <c r="H36" s="21">
        <f t="shared" ref="H36:H45" si="11">0</f>
        <v>0</v>
      </c>
    </row>
    <row r="37" customHeight="1" spans="1:8">
      <c r="A37" s="22" t="s">
        <v>165</v>
      </c>
      <c r="B37" s="18">
        <f t="shared" si="8"/>
        <v>32</v>
      </c>
      <c r="C37" s="19">
        <f t="shared" si="4"/>
        <v>0</v>
      </c>
      <c r="D37" s="19">
        <f t="shared" si="5"/>
        <v>0</v>
      </c>
      <c r="E37" s="23" t="s">
        <v>168</v>
      </c>
      <c r="F37" s="18">
        <f t="shared" si="9"/>
        <v>32</v>
      </c>
      <c r="G37" s="19">
        <f t="shared" si="10"/>
        <v>0</v>
      </c>
      <c r="H37" s="21">
        <f t="shared" si="11"/>
        <v>0</v>
      </c>
    </row>
    <row r="38" customHeight="1" spans="1:8">
      <c r="A38" s="22" t="s">
        <v>171</v>
      </c>
      <c r="B38" s="18">
        <f t="shared" si="8"/>
        <v>33</v>
      </c>
      <c r="C38" s="19">
        <f t="shared" si="4"/>
        <v>0</v>
      </c>
      <c r="D38" s="19">
        <f t="shared" si="5"/>
        <v>0</v>
      </c>
      <c r="E38" s="23" t="s">
        <v>104</v>
      </c>
      <c r="F38" s="18">
        <f t="shared" si="9"/>
        <v>33</v>
      </c>
      <c r="G38" s="19">
        <f t="shared" si="10"/>
        <v>0</v>
      </c>
      <c r="H38" s="21">
        <f t="shared" si="11"/>
        <v>0</v>
      </c>
    </row>
    <row r="39" customHeight="1" spans="1:8">
      <c r="A39" s="22" t="s">
        <v>176</v>
      </c>
      <c r="B39" s="18">
        <f t="shared" si="8"/>
        <v>34</v>
      </c>
      <c r="C39" s="19">
        <f t="shared" si="4"/>
        <v>0</v>
      </c>
      <c r="D39" s="19">
        <f t="shared" si="5"/>
        <v>0</v>
      </c>
      <c r="E39" s="23" t="s">
        <v>110</v>
      </c>
      <c r="F39" s="18">
        <f t="shared" si="9"/>
        <v>34</v>
      </c>
      <c r="G39" s="19">
        <f t="shared" si="10"/>
        <v>0</v>
      </c>
      <c r="H39" s="21">
        <f t="shared" si="11"/>
        <v>0</v>
      </c>
    </row>
    <row r="40" customHeight="1" spans="1:8">
      <c r="A40" s="22" t="s">
        <v>181</v>
      </c>
      <c r="B40" s="18">
        <f t="shared" si="8"/>
        <v>35</v>
      </c>
      <c r="C40" s="19">
        <f t="shared" si="4"/>
        <v>0</v>
      </c>
      <c r="D40" s="19">
        <f t="shared" si="5"/>
        <v>0</v>
      </c>
      <c r="E40" s="23" t="s">
        <v>184</v>
      </c>
      <c r="F40" s="18">
        <f t="shared" si="9"/>
        <v>35</v>
      </c>
      <c r="G40" s="19">
        <f t="shared" si="10"/>
        <v>0</v>
      </c>
      <c r="H40" s="21">
        <f t="shared" si="11"/>
        <v>0</v>
      </c>
    </row>
    <row r="41" customHeight="1" spans="1:8">
      <c r="A41" s="28" t="s">
        <v>187</v>
      </c>
      <c r="B41" s="18">
        <f t="shared" si="8"/>
        <v>36</v>
      </c>
      <c r="C41" s="19">
        <f>SUM(C25:C40)</f>
        <v>0</v>
      </c>
      <c r="D41" s="19">
        <f>SUM(D25:D40)</f>
        <v>0</v>
      </c>
      <c r="E41" s="23" t="s">
        <v>188</v>
      </c>
      <c r="F41" s="18">
        <f t="shared" si="9"/>
        <v>36</v>
      </c>
      <c r="G41" s="19">
        <f t="shared" si="10"/>
        <v>0</v>
      </c>
      <c r="H41" s="21">
        <f t="shared" si="11"/>
        <v>0</v>
      </c>
    </row>
    <row r="42" customHeight="1" spans="1:8">
      <c r="A42" s="25"/>
      <c r="B42" s="18">
        <f t="shared" si="8"/>
        <v>37</v>
      </c>
      <c r="C42" s="32"/>
      <c r="D42" s="32"/>
      <c r="E42" s="23" t="s">
        <v>191</v>
      </c>
      <c r="F42" s="18">
        <f t="shared" si="9"/>
        <v>37</v>
      </c>
      <c r="G42" s="19">
        <f t="shared" si="10"/>
        <v>0</v>
      </c>
      <c r="H42" s="21">
        <f t="shared" si="11"/>
        <v>0</v>
      </c>
    </row>
    <row r="43" customHeight="1" spans="1:8">
      <c r="A43" s="25"/>
      <c r="B43" s="18">
        <v>37</v>
      </c>
      <c r="C43" s="32"/>
      <c r="D43" s="32"/>
      <c r="E43" s="23" t="s">
        <v>194</v>
      </c>
      <c r="F43" s="18">
        <v>37</v>
      </c>
      <c r="G43" s="19">
        <f t="shared" si="10"/>
        <v>0</v>
      </c>
      <c r="H43" s="21">
        <f t="shared" si="11"/>
        <v>0</v>
      </c>
    </row>
    <row r="44" customHeight="1" spans="1:8">
      <c r="A44" s="22"/>
      <c r="B44" s="18">
        <v>38</v>
      </c>
      <c r="C44" s="19"/>
      <c r="D44" s="19"/>
      <c r="E44" s="23" t="s">
        <v>197</v>
      </c>
      <c r="F44" s="18">
        <v>38</v>
      </c>
      <c r="G44" s="19">
        <f t="shared" si="10"/>
        <v>0</v>
      </c>
      <c r="H44" s="21">
        <f t="shared" si="11"/>
        <v>0</v>
      </c>
    </row>
    <row r="45" customHeight="1" spans="1:8">
      <c r="A45" s="22"/>
      <c r="B45" s="18">
        <f>B44+1</f>
        <v>39</v>
      </c>
      <c r="C45" s="19"/>
      <c r="D45" s="19"/>
      <c r="E45" s="33" t="s">
        <v>200</v>
      </c>
      <c r="F45" s="18">
        <f>F44+1</f>
        <v>39</v>
      </c>
      <c r="G45" s="34">
        <f t="shared" si="10"/>
        <v>0</v>
      </c>
      <c r="H45" s="35">
        <f t="shared" si="11"/>
        <v>0</v>
      </c>
    </row>
    <row r="46" customHeight="1" spans="1:8">
      <c r="A46" s="36"/>
      <c r="B46" s="18">
        <f>B45+1</f>
        <v>40</v>
      </c>
      <c r="C46" s="19"/>
      <c r="D46" s="19"/>
      <c r="E46" s="20" t="s">
        <v>203</v>
      </c>
      <c r="F46" s="37">
        <f>F45+1</f>
        <v>40</v>
      </c>
      <c r="G46" s="19">
        <f>G36+G37+G40-G41+G42+G43+G44+G45</f>
        <v>0</v>
      </c>
      <c r="H46" s="21">
        <f>H36+H37+H40-H41+H42+H43+H44+H45</f>
        <v>0</v>
      </c>
    </row>
    <row r="47" customHeight="1" spans="1:8">
      <c r="A47" s="38" t="s">
        <v>204</v>
      </c>
      <c r="B47" s="39">
        <f>B46+1</f>
        <v>41</v>
      </c>
      <c r="C47" s="40">
        <f>C41+C21</f>
        <v>0</v>
      </c>
      <c r="D47" s="40">
        <f>D41+D21</f>
        <v>0</v>
      </c>
      <c r="E47" s="41" t="s">
        <v>205</v>
      </c>
      <c r="F47" s="39">
        <f>F46+1</f>
        <v>41</v>
      </c>
      <c r="G47" s="42">
        <f>G46+G34</f>
        <v>0</v>
      </c>
      <c r="H47" s="42">
        <f>H46+H34</f>
        <v>0</v>
      </c>
    </row>
    <row r="48" customHeight="1" spans="1:8">
      <c r="A48" s="43"/>
      <c r="B48" s="44"/>
      <c r="C48" s="45"/>
      <c r="D48" s="45"/>
      <c r="E48" s="43"/>
      <c r="F48" s="44"/>
      <c r="G48" s="45"/>
      <c r="H48" s="45"/>
    </row>
    <row r="49" customHeight="1" spans="1:8">
      <c r="A49" s="46" t="s">
        <v>206</v>
      </c>
      <c r="B49" s="46"/>
      <c r="C49" s="47" t="s">
        <v>207</v>
      </c>
      <c r="D49" s="47"/>
      <c r="E49" s="46" t="s">
        <v>208</v>
      </c>
      <c r="F49" s="46"/>
      <c r="G49" s="47" t="s">
        <v>209</v>
      </c>
      <c r="H49" s="2"/>
    </row>
    <row r="50" customHeight="1" spans="1:8">
      <c r="A50" s="1"/>
      <c r="B50" s="1"/>
      <c r="C50" s="2"/>
      <c r="D50" s="2"/>
      <c r="E50" s="1"/>
      <c r="F50" s="1"/>
      <c r="G50" s="2"/>
      <c r="H50" s="2"/>
    </row>
  </sheetData>
  <pageMargins left="0.74999998873613" right="0.74999998873613" top="0" bottom="0" header="0.499999992490753" footer="0.499999992490753"/>
  <pageSetup paperSize="1" orientation="landscape" horizontalDpi="600" vertic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Sheet1</vt:lpstr>
      <vt:lpstr>BB000.VTS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罗钧</cp:lastModifiedBy>
  <dcterms:created xsi:type="dcterms:W3CDTF">2026-05-16T02:01:00Z</dcterms:created>
  <dcterms:modified xsi:type="dcterms:W3CDTF">2026-05-19T02:35:53Z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94F64A329D534B0DBC486C1065D381DA_13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