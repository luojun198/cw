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7655"/>
  </bookViews>
  <sheets>
    <sheet sheetId="1" name="现金流量表(定义)" state="visible" r:id="rId4"/>
    <sheet sheetId="2" name="Sheet2" state="visible" r:id="rId5"/>
    <sheet sheetId="3" name="Sheet3" state="visible" r:id="rId6"/>
  </sheets>
  <calcPr calcId="171027"/>
</workbook>
</file>

<file path=xl/sharedStrings.xml><?xml version="1.0" encoding="utf-8"?>
<sst xmlns="http://schemas.openxmlformats.org/spreadsheetml/2006/main" count="267" uniqueCount="167">
  <si>
    <t>本年盈余与预算结余的差异</t>
  </si>
  <si>
    <t xml:space="preserve">纳税人名称：%U      </t>
  </si>
  <si>
    <t>%YH%MH</t>
  </si>
  <si>
    <t>项         目</t>
  </si>
  <si>
    <t>金   额</t>
  </si>
  <si>
    <t>一、本年预算结余（本年预算收支差额）</t>
  </si>
  <si>
    <t>二、差异调节</t>
  </si>
  <si>
    <t>--</t>
  </si>
  <si>
    <t>（一）重要事项的差异</t>
  </si>
  <si>
    <t>加：1.当期确认为收入但没有确认为预算收入</t>
  </si>
  <si>
    <t xml:space="preserve">  （1）应收款项、预收账款确认的收入</t>
  </si>
  <si>
    <t>@ys_cy(111,1,99)</t>
  </si>
  <si>
    <t xml:space="preserve">  （2）接受非货币性资产捐赠确认的收入</t>
  </si>
  <si>
    <t>@ys_cy(112,1,99)</t>
  </si>
  <si>
    <t xml:space="preserve">  2.当期确认为预算支出但没有确认为费用</t>
  </si>
  <si>
    <t xml:space="preserve">  （1）支付应付款项、预付账款的支出</t>
  </si>
  <si>
    <t>@ys_cy(121,1,99)</t>
  </si>
  <si>
    <t xml:space="preserve">  （2）为取得存货、政府储备物资等计入物资成本的支出</t>
  </si>
  <si>
    <t>@ys_cy(122,1,99)</t>
  </si>
  <si>
    <t xml:space="preserve">  （3）为购建固定资产等的资本性支出</t>
  </si>
  <si>
    <t>@ys_cy(123,1,99)</t>
  </si>
  <si>
    <t xml:space="preserve">  （4）偿还借款本息支出</t>
  </si>
  <si>
    <t>@ys_cy(124,1,99)</t>
  </si>
  <si>
    <t>减：1.当期确认为预算收入但没有确认为收入</t>
  </si>
  <si>
    <t xml:space="preserve">  （1）收到应收款项、预收账款确认的预算收入</t>
  </si>
  <si>
    <t>@ys_cy(131,1,99)</t>
  </si>
  <si>
    <t xml:space="preserve">  （2）取得借款确认的预算收入</t>
  </si>
  <si>
    <t>@ys_cy(132,1,99)</t>
  </si>
  <si>
    <t xml:space="preserve">  2.当期确认为费用但没有确认为预算支出</t>
  </si>
  <si>
    <t xml:space="preserve">  （1）发出存货、政府储备物资等确认的费用</t>
  </si>
  <si>
    <t>@ys_cy(141,1,99)</t>
  </si>
  <si>
    <t xml:space="preserve">  （2）计提的折旧费用和摊销费用</t>
  </si>
  <si>
    <t>@ys_cy(142,1,99)</t>
  </si>
  <si>
    <t xml:space="preserve">  （3）确认的资产处置费用（处置资产价值）</t>
  </si>
  <si>
    <t>@ys_cy(143,1,99)</t>
  </si>
  <si>
    <t xml:space="preserve">  （4）应付款项、预付账款确认的费用</t>
  </si>
  <si>
    <t>（二）其他事项差异</t>
  </si>
  <si>
    <t>@ys_cy(2,1,99)</t>
  </si>
  <si>
    <t>三、本年盈余（本年收入与费用的差额）</t>
  </si>
  <si>
    <t>单位负责人：         财务负责人：            审核：              制表：</t>
  </si>
  <si>
    <t xml:space="preserve">        会政财04表</t>
  </si>
  <si>
    <t>会政财04表</t>
  </si>
  <si>
    <t xml:space="preserve">          单位：元   </t>
  </si>
  <si>
    <t xml:space="preserve">单位：元   </t>
  </si>
  <si>
    <t>上年金额</t>
  </si>
  <si>
    <t>@xj_je(1101,101,199)</t>
  </si>
  <si>
    <t>@xj_je(1101,99,99)</t>
  </si>
  <si>
    <t>@xj_je(1102,101,199)</t>
  </si>
  <si>
    <t>@xj_je(1102,99,99)</t>
  </si>
  <si>
    <t>@xj_je(1103,101,199)</t>
  </si>
  <si>
    <t>@xj_je(1201,99,99)</t>
  </si>
  <si>
    <t>@xj_je(1104,101,199)</t>
  </si>
  <si>
    <t>@xj_je(1202,99,99)</t>
  </si>
  <si>
    <t>@xj_je(1203,99,99)</t>
  </si>
  <si>
    <t>@xj_je(1201,101,199)</t>
  </si>
  <si>
    <t>@xj_je(1204,99,99)</t>
  </si>
  <si>
    <t>@xj_je(1202,101,199)</t>
  </si>
  <si>
    <t>@xj_je(1203,101,199)</t>
  </si>
  <si>
    <t>@xj_je(1204,101,199)</t>
  </si>
  <si>
    <t>@xj_je(2101,99,99)</t>
  </si>
  <si>
    <t>@xj_je(2102,99,99)</t>
  </si>
  <si>
    <t>@xj_je(2103,99,99)</t>
  </si>
  <si>
    <t>@xj_je(2201,99,99)</t>
  </si>
  <si>
    <t>@xj_je(2101,101,199)</t>
  </si>
  <si>
    <t>@xj_je(2202,99,99)</t>
  </si>
  <si>
    <t>@xj_je(2102,101,199)</t>
  </si>
  <si>
    <t>@xj_je(2103,101,199)</t>
  </si>
  <si>
    <t>@xj_je(2104,101,199)</t>
  </si>
  <si>
    <t>@xj_je(3101,99,99)</t>
  </si>
  <si>
    <t>@xj_je(3102,99,99)</t>
  </si>
  <si>
    <t>@xj_je(2201,101,199)</t>
  </si>
  <si>
    <t>@xj_je(3201,99,99)</t>
  </si>
  <si>
    <t>@xj_je(2202,101,199)</t>
  </si>
  <si>
    <t>@xj_je(3202,99,99)</t>
  </si>
  <si>
    <t>@xj_je(2203,101,199)</t>
  </si>
  <si>
    <t>@xj_je(3203,99,99)</t>
  </si>
  <si>
    <t>@xj_je(2204,101,199)</t>
  </si>
  <si>
    <t>@ye(1001,98)+ye(1002,98)+ye(1012,98)</t>
  </si>
  <si>
    <t>三、筹资活动产生的现金流量：</t>
  </si>
  <si>
    <t xml:space="preserve">    财政资本性项目拨款收到的现金</t>
  </si>
  <si>
    <t>@xj_je(3101,1,99)</t>
  </si>
  <si>
    <t>@xj_je(3101,101,199)</t>
  </si>
  <si>
    <t xml:space="preserve">    取得借款收到的现金</t>
  </si>
  <si>
    <t>@xj_je(3102,1,99)</t>
  </si>
  <si>
    <t>@xj_je(3102,101,199)</t>
  </si>
  <si>
    <t xml:space="preserve">    收到的其他与筹资活动有关的现金</t>
  </si>
  <si>
    <t>@xj_je(3103,1,99)</t>
  </si>
  <si>
    <t>@xj_je(3103,101,199)</t>
  </si>
  <si>
    <t xml:space="preserve">       筹资活动的现金流入小计</t>
  </si>
  <si>
    <t xml:space="preserve">    偿还借款支付的现金</t>
  </si>
  <si>
    <t>@xj_je(3201,1,99)</t>
  </si>
  <si>
    <t>@xj_je(3201,101,199)</t>
  </si>
  <si>
    <t xml:space="preserve">    偿还利息支付的现金</t>
  </si>
  <si>
    <t>@xj_je(3202,1,99)</t>
  </si>
  <si>
    <t>@xj_je(3202,101,199)</t>
  </si>
  <si>
    <t xml:space="preserve">    支付的其他与筹资活动有关的现金</t>
  </si>
  <si>
    <t>@xj_je(3203,1,99)</t>
  </si>
  <si>
    <t>@xj_je(3203,101,199)</t>
  </si>
  <si>
    <t xml:space="preserve">       筹资活动的现金流出小计</t>
  </si>
  <si>
    <t xml:space="preserve">　   　           筹资活动产生的现金流量净额</t>
  </si>
  <si>
    <t>四、汇率变动对现金的影响额</t>
  </si>
  <si>
    <t>@xj_je(4101,1,99)</t>
  </si>
  <si>
    <t>@xj_je(4101,101,199)</t>
  </si>
  <si>
    <t>五、现金净增加额</t>
  </si>
  <si>
    <t xml:space="preserve">   加：</t>
  </si>
  <si>
    <t xml:space="preserve">       固定资产折旧、生产性生物资产折旧</t>
  </si>
  <si>
    <t>@df(1602,1,99)+df(1622,1,99)</t>
  </si>
  <si>
    <t xml:space="preserve">       无形资产摊销</t>
  </si>
  <si>
    <t>@df(1702,1,99)</t>
  </si>
  <si>
    <t xml:space="preserve">       长期待摊费用摊销</t>
  </si>
  <si>
    <t>@df(1801,1,99)</t>
  </si>
  <si>
    <t xml:space="preserve">       待摊费用减少（减：增加）</t>
  </si>
  <si>
    <t xml:space="preserve">       预提费用增加（减：减少）</t>
  </si>
  <si>
    <t xml:space="preserve">       处置固定资产、无形资产和其他长期资产的损失（减：收益）</t>
  </si>
  <si>
    <t xml:space="preserve">       固定资产报废损失（收益以“－”号填列）</t>
  </si>
  <si>
    <t xml:space="preserve">       财务费用（收益以“－”号填列）</t>
  </si>
  <si>
    <t>@jqy(5603,1,99)</t>
  </si>
  <si>
    <t xml:space="preserve">       投资损失（收益以“－”号填列）</t>
  </si>
  <si>
    <t>@jqy(5111,1,99)</t>
  </si>
  <si>
    <t xml:space="preserve">      </t>
  </si>
  <si>
    <t xml:space="preserve"> </t>
  </si>
  <si>
    <t xml:space="preserve">       存货的减少（增加以“－”号填列）</t>
  </si>
  <si>
    <t>@nc(14)-ye(14,99)</t>
  </si>
  <si>
    <t xml:space="preserve">       经营性应收项目的减少（增加以“－”号填列）</t>
  </si>
  <si>
    <t>@nc(11)-ye(11,99)+nc(12)-ye(12,99)+nc(15)-ye(15,99)</t>
  </si>
  <si>
    <t xml:space="preserve">       经营性应付项目的增加（减少以“－”号填列）</t>
  </si>
  <si>
    <t>@nc(22)-ye(22,99)</t>
  </si>
  <si>
    <t xml:space="preserve">       其他</t>
  </si>
  <si>
    <t xml:space="preserve">      经营活动产生的现金流量净额</t>
  </si>
  <si>
    <t>2、不涉及现金收支的投资和筹资活动：</t>
  </si>
  <si>
    <t xml:space="preserve">   债务转为资本</t>
  </si>
  <si>
    <t xml:space="preserve">   一年内到期的可转换公司债券</t>
  </si>
  <si>
    <t xml:space="preserve">   融资租入固定资产</t>
  </si>
  <si>
    <t>3、现金及现金等价物净增加情况：</t>
  </si>
  <si>
    <t xml:space="preserve">   现金的期末余额</t>
  </si>
  <si>
    <t>@ye(1001,99)+ye(1002,99)+ye(1012,99)</t>
  </si>
  <si>
    <t xml:space="preserve">   减：现金的期初余额</t>
  </si>
  <si>
    <t>@nc(1001)+nc(1002)+nc(1012)</t>
  </si>
  <si>
    <t xml:space="preserve">   加：现金等价物的期末余额</t>
  </si>
  <si>
    <t xml:space="preserve">   减：现金等价物的期初余额</t>
  </si>
  <si>
    <t xml:space="preserve">      现金及现金等价物净增加额</t>
  </si>
  <si>
    <t xml:space="preserve">  单位负责人：              财务负责人：              审核：              制表：</t>
  </si>
  <si>
    <t>±¾ÄêÓ¯ÓàÓëÔ¤Ëã½áÓàµÄ²îÒì</t>
  </si>
  <si>
    <t xml:space="preserve">                      会企03表</t>
  </si>
  <si>
    <t xml:space="preserve">纳税人名称：深圳市润衡财经软件有限公司      </t>
  </si>
  <si>
    <t>2019年03月</t>
  </si>
  <si>
    <t xml:space="preserve">                      单位：元   </t>
  </si>
  <si>
    <t>金     额</t>
  </si>
  <si>
    <t xml:space="preserve">    吸收投资所收到的现金</t>
  </si>
  <si>
    <t xml:space="preserve">    取得借款所收到的现金</t>
  </si>
  <si>
    <t>筹资活动现金流入小计</t>
  </si>
  <si>
    <t xml:space="preserve">    偿还债务所支付的现金</t>
  </si>
  <si>
    <t xml:space="preserve">    分配股利、利润或偿付利息支付的现金</t>
  </si>
  <si>
    <t>筹资活动现金流出小计</t>
  </si>
  <si>
    <t xml:space="preserve">    筹资活动产生的现金流量净额</t>
  </si>
  <si>
    <t>四、汇率变动对现金的影响</t>
  </si>
  <si>
    <t>五、现金及现金等价物净增加额</t>
  </si>
  <si>
    <t>期初现金及现金等价物余额</t>
  </si>
  <si>
    <t>期末现金及现金等价物余额</t>
  </si>
  <si>
    <t>补 充 资 料</t>
  </si>
  <si>
    <t>行 次</t>
  </si>
  <si>
    <t>1、将净利润调节为经营活动现金流量：</t>
  </si>
  <si>
    <t xml:space="preserve">   净利润</t>
  </si>
  <si>
    <t xml:space="preserve">   加：资产减值准备</t>
  </si>
  <si>
    <t xml:space="preserve">       固定资产折旧、油气资产折耗、生产性生物资产折旧</t>
  </si>
  <si>
    <t xml:space="preserve">       递延所得税资产减少（增加以“－”号填列）</t>
  </si>
  <si>
    <t xml:space="preserve">       递延所得税负债增加（减少以“－”号填列）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</si>
</sst>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#"/>
  </numFmts>
  <fonts count="15" x14ac:knownFonts="1">
    <font>
      <color theme="1"/>
      <family val="2"/>
      <scheme val="minor"/>
      <sz val="11"/>
      <name val="Calibri"/>
    </font>
    <font>
      <sz val="12"/>
      <name val="宋体"/>
    </font>
    <font>
      <sz val="10"/>
      <name val="Arial"/>
    </font>
    <font>
      <charset val="134"/>
      <sz val="12"/>
      <name val="宋体"/>
    </font>
    <font>
      <charset val="134"/>
      <sz val="10"/>
      <name val="宋体"/>
    </font>
    <font>
      <charset val="134"/>
      <sz val="20"/>
      <name val="宋体"/>
    </font>
    <font>
      <b/>
      <charset val="134"/>
      <color indexed="16"/>
      <sz val="22"/>
      <name val="宋体"/>
    </font>
    <font>
      <b/>
      <charset val="134"/>
      <sz val="12"/>
      <name val="宋体"/>
    </font>
    <font>
      <charset val="134"/>
      <sz val="11"/>
      <name val="宋体"/>
    </font>
    <font>
      <charset val="134"/>
      <color indexed="8"/>
      <sz val="12"/>
      <name val="宋体"/>
    </font>
    <font>
      <color indexed="8"/>
      <sz val="12"/>
      <name val="Arial"/>
    </font>
    <font>
      <b/>
      <charset val="134"/>
      <sz val="10"/>
      <name val="宋体"/>
    </font>
    <font>
      <charset val="136"/>
      <sz val="9"/>
      <name val="宋体"/>
    </font>
    <font>
      <charset val="134"/>
      <sz val="9"/>
      <name val="宋体"/>
    </font>
    <font>
      <b/>
      <charset val="134"/>
      <sz val="9"/>
      <name val="宋体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 applyAlignment="1">
      <alignment horizontal="centerContinuous"/>
    </xf>
    <xf numFmtId="164" fontId="4" fillId="0" borderId="0" xfId="0" applyNumberFormat="1" applyFont="1" applyAlignment="1">
      <alignment horizontal="centerContinuous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164" fontId="4" fillId="0" borderId="3" xfId="0" applyNumberFormat="1" applyFont="1" applyBorder="1" applyAlignment="1">
      <alignment horizontal="right" vertical="center"/>
    </xf>
    <xf numFmtId="164" fontId="4" fillId="0" borderId="3" xfId="0" applyNumberFormat="1" applyFont="1" applyBorder="1" applyAlignment="1">
      <alignment horizontal="center" vertical="center"/>
    </xf>
    <xf numFmtId="0" fontId="7" fillId="0" borderId="0" xfId="0" applyFont="1"/>
    <xf numFmtId="164" fontId="7" fillId="0" borderId="0" xfId="0" applyNumberFormat="1" applyFont="1"/>
    <xf numFmtId="164" fontId="3" fillId="0" borderId="0" xfId="0" applyNumberFormat="1" applyFont="1"/>
    <xf numFmtId="0" fontId="9" fillId="0" borderId="0" xfId="0" applyFont="1"/>
    <xf numFmtId="0" fontId="4" fillId="0" borderId="0" xfId="0" applyFont="1"/>
    <xf numFmtId="0" fontId="10" fillId="0" borderId="0" xfId="0" applyFont="1" applyAlignment="1">
      <alignment horizontal="centerContinuous" vertical="center"/>
    </xf>
    <xf numFmtId="164" fontId="7" fillId="0" borderId="4" xfId="0" applyNumberFormat="1" applyFont="1" applyBorder="1" applyAlignment="1">
      <alignment horizontal="left" vertical="center"/>
    </xf>
    <xf numFmtId="164" fontId="7" fillId="0" borderId="5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164" fontId="11" fillId="0" borderId="2" xfId="0" applyNumberFormat="1" applyFont="1" applyBorder="1" applyAlignment="1">
      <alignment horizontal="right" vertical="center"/>
    </xf>
    <xf numFmtId="164" fontId="4" fillId="0" borderId="6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164" fontId="4" fillId="0" borderId="5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vertical="center"/>
    </xf>
    <xf numFmtId="0" fontId="13" fillId="0" borderId="8" xfId="0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vertical="center"/>
    </xf>
    <xf numFmtId="164" fontId="13" fillId="0" borderId="1" xfId="0" applyNumberFormat="1" applyFont="1" applyBorder="1" applyAlignment="1">
      <alignment horizontal="right" vertical="center"/>
    </xf>
    <xf numFmtId="164" fontId="13" fillId="0" borderId="8" xfId="0" applyNumberFormat="1" applyFont="1" applyBorder="1" applyAlignment="1">
      <alignment horizontal="right" vertical="center"/>
    </xf>
    <xf numFmtId="164" fontId="13" fillId="0" borderId="6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Continuous"/>
    </xf>
    <xf numFmtId="164" fontId="2" fillId="0" borderId="0" xfId="0" applyNumberFormat="1" applyFont="1" applyAlignment="1">
      <alignment horizontal="centerContinuous"/>
    </xf>
    <xf numFmtId="164" fontId="2" fillId="0" borderId="0" xfId="0" applyNumberFormat="1" applyFont="1" applyAlignment="1">
      <alignment horizontal="centerContinuous" vertical="center"/>
    </xf>
    <xf numFmtId="164" fontId="11" fillId="0" borderId="0" xfId="0" applyNumberFormat="1" applyFont="1"/>
    <xf numFmtId="164" fontId="11" fillId="0" borderId="0" xfId="0" applyNumberFormat="1" applyFont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Continuous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2" xfId="0" applyFont="1" applyBorder="1"/>
    <xf numFmtId="0" fontId="11" fillId="0" borderId="0" xfId="0" applyFont="1"/>
    <xf numFmtId="0" fontId="11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3" fillId="0" borderId="6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3"/>
  <sheetViews>
    <sheetView workbookViewId="0" showGridLines="0" zoomScale="100" zoomScaleNormal="100">
      <selection activeCell="A1" sqref="A1"/>
    </sheetView>
  </sheetViews>
  <sheetFormatPr defaultRowHeight="21" outlineLevelRow="0" outlineLevelCol="1" x14ac:dyDescent="0" defaultColWidth="9.14814814814815" customHeight="1"/>
  <cols>
    <col min="1" max="1" width="52.1111111111111" style="1" customWidth="1"/>
    <col min="2" max="2" width="25.4444444444444" style="2" customWidth="1"/>
    <col min="3" max="3" width="18.4444444444444" customWidth="1"/>
    <col min="4" max="16384" width="9.14814814814815" customWidth="1"/>
  </cols>
  <sheetData>
    <row r="1" ht="28" customHeight="1" spans="1:2" x14ac:dyDescent="0.25">
      <c r="A1" s="3"/>
      <c r="B1" s="4"/>
    </row>
    <row r="2" ht="21" customHeight="1" spans="1:2" x14ac:dyDescent="0.25">
      <c r="A2" s="5" t="s">
        <v>0</v>
      </c>
      <c r="B2" s="6"/>
    </row>
    <row r="3" ht="21" customHeight="1" spans="1:2" x14ac:dyDescent="0.25">
      <c r="A3" s="7"/>
      <c r="B3" s="4"/>
    </row>
    <row r="4" ht="21" customHeight="1" spans="1:2" s="3" customFormat="1" x14ac:dyDescent="0.25">
      <c r="A4" s="8" t="s">
        <v>1</v>
      </c>
      <c r="B4" s="9" t="s">
        <v>2</v>
      </c>
    </row>
    <row r="5" ht="21" customHeight="1" spans="1:2" s="3" customFormat="1" x14ac:dyDescent="0.25">
      <c r="A5" s="10" t="s">
        <v>3</v>
      </c>
      <c r="B5" s="11" t="s">
        <v>4</v>
      </c>
    </row>
    <row r="6" ht="21" customHeight="1" spans="1:2" s="3" customFormat="1" x14ac:dyDescent="0.25">
      <c r="A6" s="12" t="s">
        <v>5</v>
      </c>
      <c r="B6" s="13">
        <v>0</v>
      </c>
    </row>
    <row r="7" ht="21" customHeight="1" spans="1:2" s="3" customFormat="1" x14ac:dyDescent="0.25">
      <c r="A7" s="12" t="s">
        <v>6</v>
      </c>
      <c r="B7" s="14" t="s">
        <v>7</v>
      </c>
    </row>
    <row r="8" ht="21" customHeight="1" spans="1:2" s="3" customFormat="1" x14ac:dyDescent="0.25">
      <c r="A8" s="12" t="s">
        <v>8</v>
      </c>
      <c r="B8" s="13" t="e">
        <f>B9+B12-B17-B20</f>
        <v>#VALUE!</v>
      </c>
    </row>
    <row r="9" ht="21" customHeight="1" spans="1:2" s="3" customFormat="1" x14ac:dyDescent="0.25">
      <c r="A9" s="12" t="s">
        <v>9</v>
      </c>
      <c r="B9" s="13" t="e">
        <f>B10+B11</f>
        <v>#VALUE!</v>
      </c>
    </row>
    <row r="10" ht="21" customHeight="1" spans="1:2" s="3" customFormat="1" x14ac:dyDescent="0.25">
      <c r="A10" s="12" t="s">
        <v>10</v>
      </c>
      <c r="B10" s="13" t="s">
        <v>11</v>
      </c>
    </row>
    <row r="11" ht="21" customHeight="1" spans="1:2" s="3" customFormat="1" x14ac:dyDescent="0.25">
      <c r="A11" s="12" t="s">
        <v>12</v>
      </c>
      <c r="B11" s="13" t="s">
        <v>13</v>
      </c>
    </row>
    <row r="12" ht="21" customHeight="1" spans="1:2" s="3" customFormat="1" x14ac:dyDescent="0.25">
      <c r="A12" s="12" t="s">
        <v>14</v>
      </c>
      <c r="B12" s="13" t="e">
        <f>B13+B14+B15+B16</f>
        <v>#VALUE!</v>
      </c>
    </row>
    <row r="13" ht="21" customHeight="1" spans="1:2" s="3" customFormat="1" x14ac:dyDescent="0.25">
      <c r="A13" s="12" t="s">
        <v>15</v>
      </c>
      <c r="B13" s="13" t="s">
        <v>16</v>
      </c>
    </row>
    <row r="14" ht="21" customHeight="1" spans="1:2" s="3" customFormat="1" x14ac:dyDescent="0.25">
      <c r="A14" s="12" t="s">
        <v>17</v>
      </c>
      <c r="B14" s="13" t="s">
        <v>18</v>
      </c>
    </row>
    <row r="15" ht="21" customHeight="1" spans="1:2" s="3" customFormat="1" x14ac:dyDescent="0.25">
      <c r="A15" s="12" t="s">
        <v>19</v>
      </c>
      <c r="B15" s="13" t="s">
        <v>20</v>
      </c>
    </row>
    <row r="16" ht="21" customHeight="1" spans="1:2" s="3" customFormat="1" x14ac:dyDescent="0.25">
      <c r="A16" s="12" t="s">
        <v>21</v>
      </c>
      <c r="B16" s="13" t="s">
        <v>22</v>
      </c>
    </row>
    <row r="17" ht="21" customHeight="1" spans="1:2" s="3" customFormat="1" x14ac:dyDescent="0.25">
      <c r="A17" s="12" t="s">
        <v>23</v>
      </c>
      <c r="B17" s="13" t="e">
        <f>B18+B19</f>
        <v>#VALUE!</v>
      </c>
    </row>
    <row r="18" ht="21" customHeight="1" spans="1:2" s="3" customFormat="1" x14ac:dyDescent="0.25">
      <c r="A18" s="12" t="s">
        <v>24</v>
      </c>
      <c r="B18" s="13" t="s">
        <v>25</v>
      </c>
    </row>
    <row r="19" ht="21" customHeight="1" spans="1:2" s="3" customFormat="1" x14ac:dyDescent="0.25">
      <c r="A19" s="12" t="s">
        <v>26</v>
      </c>
      <c r="B19" s="13" t="s">
        <v>27</v>
      </c>
    </row>
    <row r="20" ht="21" customHeight="1" spans="1:2" s="3" customFormat="1" x14ac:dyDescent="0.25">
      <c r="A20" s="12" t="s">
        <v>28</v>
      </c>
      <c r="B20" s="13" t="e">
        <f>B21+B22+B23+B24</f>
        <v>#VALUE!</v>
      </c>
    </row>
    <row r="21" ht="21" customHeight="1" spans="1:2" s="3" customFormat="1" x14ac:dyDescent="0.25">
      <c r="A21" s="12" t="s">
        <v>29</v>
      </c>
      <c r="B21" s="13" t="s">
        <v>30</v>
      </c>
    </row>
    <row r="22" ht="21" customHeight="1" spans="1:2" s="3" customFormat="1" x14ac:dyDescent="0.25">
      <c r="A22" s="12" t="s">
        <v>31</v>
      </c>
      <c r="B22" s="13" t="s">
        <v>32</v>
      </c>
    </row>
    <row r="23" ht="21" customHeight="1" spans="1:2" s="3" customFormat="1" x14ac:dyDescent="0.25">
      <c r="A23" s="12" t="s">
        <v>33</v>
      </c>
      <c r="B23" s="13" t="s">
        <v>34</v>
      </c>
    </row>
    <row r="24" ht="21" customHeight="1" spans="1:2" s="3" customFormat="1" x14ac:dyDescent="0.25">
      <c r="A24" s="12" t="s">
        <v>35</v>
      </c>
      <c r="B24" s="13" t="s">
        <v>34</v>
      </c>
    </row>
    <row r="25" ht="21" customHeight="1" spans="1:2" s="3" customFormat="1" x14ac:dyDescent="0.25">
      <c r="A25" s="12" t="s">
        <v>36</v>
      </c>
      <c r="B25" s="13" t="s">
        <v>37</v>
      </c>
    </row>
    <row r="26" ht="21" customHeight="1" spans="1:2" s="3" customFormat="1" x14ac:dyDescent="0.25">
      <c r="A26" s="12" t="s">
        <v>38</v>
      </c>
      <c r="B26" s="13" t="e">
        <f>B6+B8+B25</f>
        <v>#VALUE!</v>
      </c>
    </row>
    <row r="27" ht="21" customHeight="1" spans="1:2" s="3" customFormat="1" x14ac:dyDescent="0.25">
      <c r="A27" s="15"/>
      <c r="B27" s="16"/>
    </row>
    <row r="28" ht="21" customHeight="1" spans="1:2" x14ac:dyDescent="0.25">
      <c r="A28" s="8" t="s">
        <v>39</v>
      </c>
      <c r="B28" s="17"/>
    </row>
    <row r="29" ht="13.5" customHeight="1" spans="1:2" x14ac:dyDescent="0.25">
      <c r="A29" s="18"/>
      <c r="B29" s="18"/>
    </row>
    <row r="30" spans="1:2" x14ac:dyDescent="0.25">
      <c r="A30" s="1"/>
      <c r="B30" s="2"/>
    </row>
    <row r="31" spans="1:2" x14ac:dyDescent="0.25">
      <c r="A31" s="1"/>
      <c r="B31" s="2"/>
    </row>
    <row r="32" spans="1:2" x14ac:dyDescent="0.25">
      <c r="A32" s="1"/>
      <c r="B32" s="2"/>
    </row>
    <row r="33" spans="1:2" x14ac:dyDescent="0.25">
      <c r="A33" s="1"/>
      <c r="B33" s="2"/>
    </row>
    <row r="34" spans="1:2" x14ac:dyDescent="0.25">
      <c r="A34" s="1"/>
      <c r="B34" s="2"/>
    </row>
    <row r="35" spans="1:2" x14ac:dyDescent="0.25">
      <c r="A35" s="1"/>
      <c r="B35" s="2"/>
    </row>
    <row r="36" spans="1:2" x14ac:dyDescent="0.25">
      <c r="A36" s="1"/>
      <c r="B36" s="2"/>
    </row>
    <row r="37" spans="1:2" x14ac:dyDescent="0.25">
      <c r="A37" s="1"/>
      <c r="B37" s="2"/>
    </row>
    <row r="38" spans="1:2" x14ac:dyDescent="0.25">
      <c r="A38" s="1"/>
      <c r="B38" s="2"/>
    </row>
    <row r="39" spans="1:2" x14ac:dyDescent="0.25">
      <c r="A39" s="1"/>
      <c r="B39" s="2"/>
    </row>
    <row r="40" spans="1:2" x14ac:dyDescent="0.25">
      <c r="A40" s="1"/>
      <c r="B40" s="2"/>
    </row>
    <row r="41" spans="1:2" x14ac:dyDescent="0.25">
      <c r="A41" s="1"/>
      <c r="B41" s="2"/>
    </row>
    <row r="42" spans="1:2" x14ac:dyDescent="0.25">
      <c r="A42" s="1"/>
      <c r="B42" s="2"/>
    </row>
    <row r="43" spans="1:2" x14ac:dyDescent="0.25">
      <c r="A43" s="1"/>
      <c r="B43" s="2"/>
    </row>
    <row r="44" spans="1:2" x14ac:dyDescent="0.25">
      <c r="A44" s="1"/>
      <c r="B44" s="2"/>
    </row>
    <row r="45" spans="1:2" x14ac:dyDescent="0.25">
      <c r="A45" s="1"/>
      <c r="B45" s="2"/>
    </row>
    <row r="46" spans="1:2" x14ac:dyDescent="0.25">
      <c r="A46" s="1"/>
      <c r="B46" s="2"/>
    </row>
    <row r="47" spans="1:2" x14ac:dyDescent="0.25">
      <c r="A47" s="1"/>
      <c r="B47" s="2"/>
    </row>
    <row r="48" spans="1:2" x14ac:dyDescent="0.25">
      <c r="A48" s="1"/>
      <c r="B48" s="2"/>
    </row>
    <row r="49" spans="1:2" x14ac:dyDescent="0.25">
      <c r="A49" s="1"/>
      <c r="B49" s="2"/>
    </row>
    <row r="50" spans="1:2" x14ac:dyDescent="0.25">
      <c r="A50" s="1"/>
      <c r="B50" s="2"/>
    </row>
    <row r="51" spans="1:2" x14ac:dyDescent="0.25">
      <c r="A51" s="1"/>
      <c r="B51" s="2"/>
    </row>
    <row r="52" spans="1:2" x14ac:dyDescent="0.25">
      <c r="A52" s="1"/>
      <c r="B52" s="2"/>
    </row>
    <row r="53" spans="1:2" x14ac:dyDescent="0.25">
      <c r="A53" s="1"/>
      <c r="B53" s="2"/>
    </row>
    <row r="54" spans="1:2" x14ac:dyDescent="0.25">
      <c r="A54" s="1"/>
      <c r="B54" s="2"/>
    </row>
    <row r="55" spans="1:2" x14ac:dyDescent="0.25">
      <c r="A55" s="1"/>
      <c r="B55" s="2"/>
    </row>
    <row r="56" spans="1:2" x14ac:dyDescent="0.25">
      <c r="A56" s="1"/>
      <c r="B56" s="2"/>
    </row>
    <row r="57" spans="1:2" x14ac:dyDescent="0.25">
      <c r="A57" s="1"/>
      <c r="B57" s="2"/>
    </row>
    <row r="58" spans="1:12" s="3" customFormat="1" x14ac:dyDescent="0.25">
      <c r="A58" s="8"/>
      <c r="B58" s="17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ht="12.7" customHeight="1" spans="1:2" x14ac:dyDescent="0.25">
      <c r="A59" s="19"/>
      <c r="B59" s="4"/>
    </row>
    <row r="60" ht="12.7" customHeight="1" spans="1:2" x14ac:dyDescent="0.25">
      <c r="A60" s="1"/>
      <c r="B60" s="2"/>
    </row>
    <row r="61" ht="12.7" customHeight="1" spans="1:2" x14ac:dyDescent="0.25">
      <c r="A61" s="1"/>
      <c r="B61" s="2"/>
    </row>
    <row r="62" ht="12.7" customHeight="1" spans="1:2" x14ac:dyDescent="0.25">
      <c r="A62" s="1"/>
      <c r="B62" s="2"/>
    </row>
    <row r="63" ht="12.7" customHeight="1" spans="1:2" x14ac:dyDescent="0.25">
      <c r="A63" s="19"/>
      <c r="B63" s="4"/>
    </row>
  </sheetData>
  <printOptions horizontalCentered="1" verticalCentered="1"/>
  <pageMargins left="0" right="0" top="0.196850393700787" bottom="0" header="0" footer="0"/>
  <pageSetup paperSize="9" orientation="portrait" horizontalDpi="600" verticalDpi="4294967295" pageOrder="overThenDown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0"/>
  <sheetViews>
    <sheetView workbookViewId="0" zoomScale="100" zoomScaleNormal="100">
      <selection activeCell="A1" sqref="A1"/>
    </sheetView>
  </sheetViews>
  <sheetFormatPr defaultRowHeight="21" outlineLevelRow="0" outlineLevelCol="3" x14ac:dyDescent="0" defaultColWidth="9.14814814814815" customHeight="1"/>
  <cols>
    <col min="1" max="16384" width="9.14814814814815" customWidth="1"/>
  </cols>
  <sheetData>
    <row r="1" ht="28" customHeight="1" spans="1:2" x14ac:dyDescent="0.25">
      <c r="A1" s="3"/>
      <c r="B1" s="4"/>
    </row>
    <row r="2" ht="21" customHeight="1" spans="1:4" x14ac:dyDescent="0.25">
      <c r="A2" s="5" t="s">
        <v>0</v>
      </c>
      <c r="B2" s="6"/>
      <c r="C2" s="20"/>
      <c r="D2" s="20"/>
    </row>
    <row r="3" ht="21" customHeight="1" spans="1:4" x14ac:dyDescent="0.25">
      <c r="A3" s="7"/>
      <c r="B3" s="4"/>
      <c r="C3" s="16" t="s">
        <v>40</v>
      </c>
      <c r="D3" s="16" t="s">
        <v>41</v>
      </c>
    </row>
    <row r="4" ht="21" customHeight="1" spans="1:4" x14ac:dyDescent="0.25">
      <c r="A4" s="8" t="s">
        <v>1</v>
      </c>
      <c r="B4" s="9" t="s">
        <v>2</v>
      </c>
      <c r="C4" s="21" t="s">
        <v>42</v>
      </c>
      <c r="D4" s="21" t="s">
        <v>43</v>
      </c>
    </row>
    <row r="5" ht="21" customHeight="1" spans="1:4" x14ac:dyDescent="0.25">
      <c r="A5" s="10" t="s">
        <v>3</v>
      </c>
      <c r="B5" s="11" t="s">
        <v>4</v>
      </c>
      <c r="C5" s="22" t="s">
        <v>44</v>
      </c>
      <c r="D5" s="22" t="s">
        <v>44</v>
      </c>
    </row>
    <row r="6" ht="21" customHeight="1" spans="1:4" x14ac:dyDescent="0.25">
      <c r="A6" s="12" t="s">
        <v>5</v>
      </c>
      <c r="B6" s="13">
        <v>0</v>
      </c>
      <c r="C6" s="23">
        <v>0</v>
      </c>
      <c r="D6" s="23">
        <v>0</v>
      </c>
    </row>
    <row r="7" ht="21" customHeight="1" spans="1:4" x14ac:dyDescent="0.25">
      <c r="A7" s="12" t="s">
        <v>6</v>
      </c>
      <c r="B7" s="14" t="s">
        <v>7</v>
      </c>
      <c r="C7" s="23" t="s">
        <v>45</v>
      </c>
      <c r="D7" s="23" t="s">
        <v>46</v>
      </c>
    </row>
    <row r="8" ht="21" customHeight="1" spans="1:4" x14ac:dyDescent="0.25">
      <c r="A8" s="12" t="s">
        <v>8</v>
      </c>
      <c r="B8" s="13" t="e">
        <f>B9+B12-B17-B20</f>
        <v>#VALUE!</v>
      </c>
      <c r="C8" s="23" t="s">
        <v>47</v>
      </c>
      <c r="D8" s="23" t="s">
        <v>48</v>
      </c>
    </row>
    <row r="9" ht="21" customHeight="1" spans="1:4" x14ac:dyDescent="0.25">
      <c r="A9" s="12" t="s">
        <v>9</v>
      </c>
      <c r="B9" s="13" t="e">
        <f>B10+B11</f>
        <v>#VALUE!</v>
      </c>
      <c r="C9" s="23" t="s">
        <v>49</v>
      </c>
      <c r="D9" s="23" t="s">
        <v>50</v>
      </c>
    </row>
    <row r="10" ht="21" customHeight="1" spans="1:4" x14ac:dyDescent="0.25">
      <c r="A10" s="12" t="s">
        <v>10</v>
      </c>
      <c r="B10" s="13" t="s">
        <v>11</v>
      </c>
      <c r="C10" s="24" t="s">
        <v>51</v>
      </c>
      <c r="D10" s="23" t="s">
        <v>52</v>
      </c>
    </row>
    <row r="11" ht="21" customHeight="1" spans="1:4" x14ac:dyDescent="0.25">
      <c r="A11" s="12" t="s">
        <v>12</v>
      </c>
      <c r="B11" s="13" t="s">
        <v>13</v>
      </c>
      <c r="C11" s="25" t="e">
        <f>C7+C8+C9+C10</f>
        <v>#VALUE!</v>
      </c>
      <c r="D11" s="23" t="s">
        <v>53</v>
      </c>
    </row>
    <row r="12" ht="21" customHeight="1" spans="1:4" x14ac:dyDescent="0.25">
      <c r="A12" s="12" t="s">
        <v>14</v>
      </c>
      <c r="B12" s="13" t="e">
        <f>B13+B14+B15+B16</f>
        <v>#VALUE!</v>
      </c>
      <c r="C12" s="26" t="s">
        <v>54</v>
      </c>
      <c r="D12" s="23" t="s">
        <v>55</v>
      </c>
    </row>
    <row r="13" ht="21" customHeight="1" spans="1:4" x14ac:dyDescent="0.25">
      <c r="A13" s="12" t="s">
        <v>15</v>
      </c>
      <c r="B13" s="13" t="s">
        <v>16</v>
      </c>
      <c r="C13" s="23" t="s">
        <v>56</v>
      </c>
      <c r="D13" s="23" t="e">
        <f>D7+D8-D9-D10-D11-D12</f>
        <v>#VALUE!</v>
      </c>
    </row>
    <row r="14" ht="21" customHeight="1" spans="1:4" x14ac:dyDescent="0.25">
      <c r="A14" s="12" t="s">
        <v>17</v>
      </c>
      <c r="B14" s="13" t="s">
        <v>18</v>
      </c>
      <c r="C14" s="23" t="s">
        <v>57</v>
      </c>
      <c r="D14" s="23"/>
    </row>
    <row r="15" ht="21" customHeight="1" spans="1:4" x14ac:dyDescent="0.25">
      <c r="A15" s="12" t="s">
        <v>19</v>
      </c>
      <c r="B15" s="13" t="s">
        <v>20</v>
      </c>
      <c r="C15" s="24" t="s">
        <v>58</v>
      </c>
      <c r="D15" s="23" t="s">
        <v>59</v>
      </c>
    </row>
    <row r="16" ht="21" customHeight="1" spans="1:4" x14ac:dyDescent="0.25">
      <c r="A16" s="12" t="s">
        <v>21</v>
      </c>
      <c r="B16" s="13" t="s">
        <v>22</v>
      </c>
      <c r="C16" s="27" t="e">
        <f>C12+C13+C14+C15</f>
        <v>#VALUE!</v>
      </c>
      <c r="D16" s="23" t="s">
        <v>60</v>
      </c>
    </row>
    <row r="17" ht="21" customHeight="1" spans="1:4" x14ac:dyDescent="0.25">
      <c r="A17" s="12" t="s">
        <v>23</v>
      </c>
      <c r="B17" s="13" t="e">
        <f>B18+B19</f>
        <v>#VALUE!</v>
      </c>
      <c r="C17" s="25" t="e">
        <f>C11-C16</f>
        <v>#VALUE!</v>
      </c>
      <c r="D17" s="23" t="s">
        <v>61</v>
      </c>
    </row>
    <row r="18" ht="21" customHeight="1" spans="1:4" x14ac:dyDescent="0.25">
      <c r="A18" s="12" t="s">
        <v>24</v>
      </c>
      <c r="B18" s="13" t="s">
        <v>25</v>
      </c>
      <c r="C18" s="26"/>
      <c r="D18" s="23" t="s">
        <v>62</v>
      </c>
    </row>
    <row r="19" ht="21" customHeight="1" spans="1:4" x14ac:dyDescent="0.25">
      <c r="A19" s="12" t="s">
        <v>26</v>
      </c>
      <c r="B19" s="13" t="s">
        <v>27</v>
      </c>
      <c r="C19" s="23" t="s">
        <v>63</v>
      </c>
      <c r="D19" s="23" t="s">
        <v>64</v>
      </c>
    </row>
    <row r="20" ht="21" customHeight="1" spans="1:4" x14ac:dyDescent="0.25">
      <c r="A20" s="12" t="s">
        <v>28</v>
      </c>
      <c r="B20" s="13" t="e">
        <f>B21+B22+B23+B24</f>
        <v>#VALUE!</v>
      </c>
      <c r="C20" s="23" t="s">
        <v>65</v>
      </c>
      <c r="D20" s="23" t="e">
        <f>D15+D16+D17-D18-D19</f>
        <v>#VALUE!</v>
      </c>
    </row>
    <row r="21" ht="21" customHeight="1" spans="1:4" x14ac:dyDescent="0.25">
      <c r="A21" s="12" t="s">
        <v>29</v>
      </c>
      <c r="B21" s="13" t="s">
        <v>30</v>
      </c>
      <c r="C21" s="23" t="s">
        <v>66</v>
      </c>
      <c r="D21" s="23"/>
    </row>
    <row r="22" ht="21" customHeight="1" spans="1:4" x14ac:dyDescent="0.25">
      <c r="A22" s="12" t="s">
        <v>31</v>
      </c>
      <c r="B22" s="13" t="s">
        <v>32</v>
      </c>
      <c r="C22" s="24" t="s">
        <v>67</v>
      </c>
      <c r="D22" s="23" t="s">
        <v>68</v>
      </c>
    </row>
    <row r="23" ht="21" customHeight="1" spans="1:4" x14ac:dyDescent="0.25">
      <c r="A23" s="12" t="s">
        <v>33</v>
      </c>
      <c r="B23" s="13" t="s">
        <v>34</v>
      </c>
      <c r="C23" s="25" t="e">
        <f>C19+C20+C21+C22</f>
        <v>#VALUE!</v>
      </c>
      <c r="D23" s="23" t="s">
        <v>69</v>
      </c>
    </row>
    <row r="24" ht="21" customHeight="1" spans="1:4" x14ac:dyDescent="0.25">
      <c r="A24" s="12" t="s">
        <v>35</v>
      </c>
      <c r="B24" s="13" t="s">
        <v>34</v>
      </c>
      <c r="C24" s="26" t="s">
        <v>70</v>
      </c>
      <c r="D24" s="23" t="s">
        <v>71</v>
      </c>
    </row>
    <row r="25" ht="21" customHeight="1" spans="1:4" x14ac:dyDescent="0.25">
      <c r="A25" s="12" t="s">
        <v>36</v>
      </c>
      <c r="B25" s="13" t="s">
        <v>37</v>
      </c>
      <c r="C25" s="23" t="s">
        <v>72</v>
      </c>
      <c r="D25" s="23" t="s">
        <v>73</v>
      </c>
    </row>
    <row r="26" ht="21" customHeight="1" spans="1:4" x14ac:dyDescent="0.25">
      <c r="A26" s="12" t="s">
        <v>38</v>
      </c>
      <c r="B26" s="13" t="e">
        <f>B6+B8+B25</f>
        <v>#VALUE!</v>
      </c>
      <c r="C26" s="23" t="s">
        <v>74</v>
      </c>
      <c r="D26" s="23" t="s">
        <v>75</v>
      </c>
    </row>
    <row r="27" ht="21" customHeight="1" spans="1:4" x14ac:dyDescent="0.25">
      <c r="A27" s="15"/>
      <c r="B27" s="16"/>
      <c r="C27" s="24" t="s">
        <v>76</v>
      </c>
      <c r="D27" s="23" t="e">
        <f>D22+D23-D24-D25-D26</f>
        <v>#VALUE!</v>
      </c>
    </row>
    <row r="28" ht="21" customHeight="1" spans="1:4" x14ac:dyDescent="0.25">
      <c r="A28" s="8" t="s">
        <v>39</v>
      </c>
      <c r="B28" s="17"/>
      <c r="C28" s="27" t="e">
        <f>C24+C25+C26+C27</f>
        <v>#VALUE!</v>
      </c>
      <c r="D28" s="23" t="e">
        <f>D13+D20+D27</f>
        <v>#VALUE!</v>
      </c>
    </row>
    <row r="29" ht="21" customHeight="1" spans="1:4" x14ac:dyDescent="0.25">
      <c r="A29" s="18"/>
      <c r="B29" s="18"/>
      <c r="C29" s="25" t="e">
        <f>C23-C28</f>
        <v>#VALUE!</v>
      </c>
      <c r="D29" s="24" t="s">
        <v>77</v>
      </c>
    </row>
    <row r="30" ht="21" customHeight="1" spans="1:4" x14ac:dyDescent="0.25">
      <c r="A30" s="28" t="s">
        <v>78</v>
      </c>
      <c r="B30" s="26"/>
      <c r="C30" s="26"/>
      <c r="D30" s="23" t="e">
        <f>D28+D29</f>
        <v>#VALUE!</v>
      </c>
    </row>
    <row r="31" ht="21" customHeight="1" spans="1:4" x14ac:dyDescent="0.25">
      <c r="A31" s="29" t="s">
        <v>79</v>
      </c>
      <c r="B31" s="23" t="s">
        <v>80</v>
      </c>
      <c r="C31" s="23" t="s">
        <v>81</v>
      </c>
      <c r="D31" s="3"/>
    </row>
    <row r="32" ht="21" customHeight="1" spans="1:3" x14ac:dyDescent="0.25">
      <c r="A32" s="29" t="s">
        <v>82</v>
      </c>
      <c r="B32" s="23" t="s">
        <v>83</v>
      </c>
      <c r="C32" s="23" t="s">
        <v>84</v>
      </c>
    </row>
    <row r="33" ht="21" customHeight="1" spans="1:3" x14ac:dyDescent="0.25">
      <c r="A33" s="29" t="s">
        <v>85</v>
      </c>
      <c r="B33" s="24" t="s">
        <v>86</v>
      </c>
      <c r="C33" s="24" t="s">
        <v>87</v>
      </c>
    </row>
    <row r="34" ht="21" customHeight="1" spans="1:3" x14ac:dyDescent="0.25">
      <c r="A34" s="30" t="s">
        <v>88</v>
      </c>
      <c r="B34" s="25" t="e">
        <f>B31+B32+B33</f>
        <v>#VALUE!</v>
      </c>
      <c r="C34" s="25" t="e">
        <f>C31+C32+C33</f>
        <v>#VALUE!</v>
      </c>
    </row>
    <row r="35" ht="21" customHeight="1" spans="1:3" x14ac:dyDescent="0.25">
      <c r="A35" s="29" t="s">
        <v>89</v>
      </c>
      <c r="B35" s="26" t="s">
        <v>90</v>
      </c>
      <c r="C35" s="26" t="s">
        <v>91</v>
      </c>
    </row>
    <row r="36" ht="21" customHeight="1" spans="1:3" x14ac:dyDescent="0.25">
      <c r="A36" s="29" t="s">
        <v>92</v>
      </c>
      <c r="B36" s="23" t="s">
        <v>93</v>
      </c>
      <c r="C36" s="23" t="s">
        <v>94</v>
      </c>
    </row>
    <row r="37" ht="21" customHeight="1" spans="1:3" x14ac:dyDescent="0.25">
      <c r="A37" s="29" t="s">
        <v>95</v>
      </c>
      <c r="B37" s="24" t="s">
        <v>96</v>
      </c>
      <c r="C37" s="24" t="s">
        <v>97</v>
      </c>
    </row>
    <row r="38" ht="21" customHeight="1" spans="1:3" x14ac:dyDescent="0.25">
      <c r="A38" s="30" t="s">
        <v>98</v>
      </c>
      <c r="B38" s="27" t="e">
        <f>B35+B36+B37</f>
        <v>#VALUE!</v>
      </c>
      <c r="C38" s="27" t="e">
        <f>C35+C36+C37</f>
        <v>#VALUE!</v>
      </c>
    </row>
    <row r="39" ht="21" customHeight="1" spans="1:4" x14ac:dyDescent="0.25">
      <c r="A39" s="30" t="s">
        <v>99</v>
      </c>
      <c r="B39" s="25" t="e">
        <f>B34-B38</f>
        <v>#VALUE!</v>
      </c>
      <c r="C39" s="25" t="e">
        <f>C34-C38</f>
        <v>#VALUE!</v>
      </c>
      <c r="D39" s="3"/>
    </row>
    <row r="40" ht="21" customHeight="1" spans="1:4" x14ac:dyDescent="0.25">
      <c r="A40" s="28" t="s">
        <v>100</v>
      </c>
      <c r="B40" s="31" t="s">
        <v>101</v>
      </c>
      <c r="C40" s="31" t="s">
        <v>102</v>
      </c>
      <c r="D40" s="3"/>
    </row>
    <row r="41" ht="21" customHeight="1" spans="1:4" x14ac:dyDescent="0.25">
      <c r="A41" s="30" t="s">
        <v>103</v>
      </c>
      <c r="B41" s="25" t="e">
        <f>B17+B29+B39+B40</f>
        <v>#VALUE!</v>
      </c>
      <c r="C41" s="25" t="e">
        <f>C17+C29+C39+C40</f>
        <v>#VALUE!</v>
      </c>
      <c r="D41" s="3"/>
    </row>
    <row r="42" ht="21" customHeight="1" spans="1:3" x14ac:dyDescent="0.25">
      <c r="A42" s="15"/>
      <c r="B42" s="16"/>
      <c r="C42" s="3"/>
    </row>
    <row r="43" ht="21" customHeight="1" spans="1:2" x14ac:dyDescent="0.25">
      <c r="A43" s="8" t="s">
        <v>39</v>
      </c>
      <c r="B43" s="17"/>
    </row>
    <row r="44" ht="21" customHeight="1" x14ac:dyDescent="0.25"/>
    <row r="45" ht="21" customHeight="1" spans="1:3" x14ac:dyDescent="0.25">
      <c r="A45" s="32" t="s">
        <v>104</v>
      </c>
      <c r="B45" s="33">
        <f t="shared" ref="B45:B71" si="0">B44+1</f>
        <v>1</v>
      </c>
      <c r="C45" s="34"/>
    </row>
    <row r="46" ht="21" customHeight="1" spans="1:3" x14ac:dyDescent="0.25">
      <c r="A46" s="35" t="s">
        <v>105</v>
      </c>
      <c r="B46" s="33">
        <f t="shared" si="0"/>
        <v>2</v>
      </c>
      <c r="C46" s="34" t="s">
        <v>106</v>
      </c>
    </row>
    <row r="47" ht="21" customHeight="1" spans="1:3" x14ac:dyDescent="0.25">
      <c r="A47" s="35" t="s">
        <v>107</v>
      </c>
      <c r="B47" s="33">
        <f t="shared" si="0"/>
        <v>3</v>
      </c>
      <c r="C47" s="34" t="s">
        <v>108</v>
      </c>
    </row>
    <row r="48" ht="21" customHeight="1" spans="1:3" x14ac:dyDescent="0.25">
      <c r="A48" s="35" t="s">
        <v>109</v>
      </c>
      <c r="B48" s="33">
        <f t="shared" si="0"/>
        <v>4</v>
      </c>
      <c r="C48" s="34" t="s">
        <v>110</v>
      </c>
    </row>
    <row r="49" ht="21" customHeight="1" spans="1:3" x14ac:dyDescent="0.25">
      <c r="A49" s="35" t="s">
        <v>111</v>
      </c>
      <c r="B49" s="33">
        <f t="shared" si="0"/>
        <v>5</v>
      </c>
      <c r="C49" s="34"/>
    </row>
    <row r="50" ht="21" customHeight="1" spans="1:3" x14ac:dyDescent="0.25">
      <c r="A50" s="35" t="s">
        <v>112</v>
      </c>
      <c r="B50" s="33">
        <f t="shared" si="0"/>
        <v>6</v>
      </c>
      <c r="C50" s="34"/>
    </row>
    <row r="51" ht="21" customHeight="1" spans="1:3" x14ac:dyDescent="0.25">
      <c r="A51" s="35" t="s">
        <v>113</v>
      </c>
      <c r="B51" s="33">
        <f t="shared" si="0"/>
        <v>7</v>
      </c>
      <c r="C51" s="34"/>
    </row>
    <row r="52" ht="21" customHeight="1" spans="1:3" x14ac:dyDescent="0.25">
      <c r="A52" s="35" t="s">
        <v>114</v>
      </c>
      <c r="B52" s="33">
        <f t="shared" si="0"/>
        <v>8</v>
      </c>
      <c r="C52" s="34"/>
    </row>
    <row r="53" ht="21" customHeight="1" spans="1:3" x14ac:dyDescent="0.25">
      <c r="A53" s="35" t="s">
        <v>115</v>
      </c>
      <c r="B53" s="33">
        <f t="shared" si="0"/>
        <v>9</v>
      </c>
      <c r="C53" s="36" t="s">
        <v>116</v>
      </c>
    </row>
    <row r="54" ht="21" customHeight="1" spans="1:3" x14ac:dyDescent="0.25">
      <c r="A54" s="35" t="s">
        <v>117</v>
      </c>
      <c r="B54" s="33">
        <f t="shared" si="0"/>
        <v>10</v>
      </c>
      <c r="C54" s="37" t="s">
        <v>118</v>
      </c>
    </row>
    <row r="55" ht="21" customHeight="1" spans="1:3" x14ac:dyDescent="0.25">
      <c r="A55" s="35" t="s">
        <v>119</v>
      </c>
      <c r="B55" s="33">
        <f t="shared" si="0"/>
        <v>11</v>
      </c>
      <c r="C55" s="38"/>
    </row>
    <row r="56" ht="21" customHeight="1" spans="1:3" x14ac:dyDescent="0.25">
      <c r="A56" s="35" t="s">
        <v>120</v>
      </c>
      <c r="B56" s="33">
        <f t="shared" si="0"/>
        <v>12</v>
      </c>
      <c r="C56" s="38"/>
    </row>
    <row r="57" ht="21" customHeight="1" spans="1:3" x14ac:dyDescent="0.25">
      <c r="A57" s="35" t="s">
        <v>121</v>
      </c>
      <c r="B57" s="33">
        <f t="shared" si="0"/>
        <v>13</v>
      </c>
      <c r="C57" s="34" t="s">
        <v>122</v>
      </c>
    </row>
    <row r="58" ht="21" customHeight="1" spans="1:3" x14ac:dyDescent="0.25">
      <c r="A58" s="35" t="s">
        <v>123</v>
      </c>
      <c r="B58" s="33">
        <f t="shared" si="0"/>
        <v>14</v>
      </c>
      <c r="C58" s="34" t="s">
        <v>124</v>
      </c>
    </row>
    <row r="59" ht="21" customHeight="1" spans="1:3" x14ac:dyDescent="0.25">
      <c r="A59" s="39" t="s">
        <v>125</v>
      </c>
      <c r="B59" s="33">
        <f t="shared" si="0"/>
        <v>15</v>
      </c>
      <c r="C59" s="34" t="s">
        <v>126</v>
      </c>
    </row>
    <row r="60" ht="21" customHeight="1" spans="1:3" x14ac:dyDescent="0.25">
      <c r="A60" s="39" t="s">
        <v>127</v>
      </c>
      <c r="B60" s="33">
        <f t="shared" si="0"/>
        <v>16</v>
      </c>
      <c r="C60" s="34" t="e">
        <f>C13-SUM(C44:C59)</f>
        <v>#VALUE!</v>
      </c>
    </row>
    <row r="61" ht="21" customHeight="1" spans="1:3" x14ac:dyDescent="0.25">
      <c r="A61" s="40" t="s">
        <v>128</v>
      </c>
      <c r="B61" s="33">
        <f t="shared" si="0"/>
        <v>17</v>
      </c>
      <c r="C61" s="34" t="e">
        <f>SUM(C44:C60)</f>
        <v>#VALUE!</v>
      </c>
    </row>
    <row r="62" ht="21" customHeight="1" spans="1:3" x14ac:dyDescent="0.25">
      <c r="A62" s="41" t="s">
        <v>129</v>
      </c>
      <c r="B62" s="33">
        <f t="shared" si="0"/>
        <v>18</v>
      </c>
      <c r="C62" s="34"/>
    </row>
    <row r="63" ht="21" customHeight="1" spans="1:3" x14ac:dyDescent="0.25">
      <c r="A63" s="35" t="s">
        <v>130</v>
      </c>
      <c r="B63" s="33">
        <f t="shared" si="0"/>
        <v>19</v>
      </c>
      <c r="C63" s="34"/>
    </row>
    <row r="64" ht="21" customHeight="1" spans="1:3" x14ac:dyDescent="0.25">
      <c r="A64" s="35" t="s">
        <v>131</v>
      </c>
      <c r="B64" s="33">
        <f t="shared" si="0"/>
        <v>20</v>
      </c>
      <c r="C64" s="34"/>
    </row>
    <row r="65" ht="21" customHeight="1" spans="1:3" x14ac:dyDescent="0.25">
      <c r="A65" s="35" t="s">
        <v>132</v>
      </c>
      <c r="B65" s="33">
        <f t="shared" si="0"/>
        <v>21</v>
      </c>
      <c r="C65" s="34"/>
    </row>
    <row r="66" ht="21" customHeight="1" spans="1:3" x14ac:dyDescent="0.25">
      <c r="A66" s="41" t="s">
        <v>133</v>
      </c>
      <c r="B66" s="33">
        <f t="shared" si="0"/>
        <v>22</v>
      </c>
      <c r="C66" s="34"/>
    </row>
    <row r="67" ht="21" customHeight="1" spans="1:3" x14ac:dyDescent="0.25">
      <c r="A67" s="35" t="s">
        <v>134</v>
      </c>
      <c r="B67" s="33">
        <f t="shared" si="0"/>
        <v>23</v>
      </c>
      <c r="C67" s="34" t="s">
        <v>135</v>
      </c>
    </row>
    <row r="68" ht="21" customHeight="1" spans="1:3" x14ac:dyDescent="0.25">
      <c r="A68" s="35" t="s">
        <v>136</v>
      </c>
      <c r="B68" s="33">
        <f t="shared" si="0"/>
        <v>24</v>
      </c>
      <c r="C68" s="34" t="s">
        <v>137</v>
      </c>
    </row>
    <row r="69" ht="21" customHeight="1" spans="1:3" x14ac:dyDescent="0.25">
      <c r="A69" s="35" t="s">
        <v>138</v>
      </c>
      <c r="B69" s="33">
        <f t="shared" si="0"/>
        <v>25</v>
      </c>
      <c r="C69" s="34">
        <v>0</v>
      </c>
    </row>
    <row r="70" ht="21" customHeight="1" spans="1:3" x14ac:dyDescent="0.25">
      <c r="A70" s="39" t="s">
        <v>139</v>
      </c>
      <c r="B70" s="33">
        <f t="shared" si="0"/>
        <v>26</v>
      </c>
      <c r="C70" s="34">
        <v>0</v>
      </c>
    </row>
    <row r="71" ht="21" customHeight="1" spans="1:3" x14ac:dyDescent="0.25">
      <c r="A71" s="40" t="s">
        <v>140</v>
      </c>
      <c r="B71" s="33">
        <f t="shared" si="0"/>
        <v>27</v>
      </c>
      <c r="C71" s="34" t="e">
        <f>C67-C68+C69-C70</f>
        <v>#VALUE!</v>
      </c>
    </row>
    <row r="72" ht="21" customHeight="1" spans="1:3" x14ac:dyDescent="0.25">
      <c r="A72" s="42" t="s">
        <v>141</v>
      </c>
      <c r="B72" s="19"/>
      <c r="C72" s="4"/>
    </row>
    <row r="73" ht="21" customHeight="1" spans="1:3" x14ac:dyDescent="0.25">
      <c r="A73" s="39" t="s">
        <v>139</v>
      </c>
      <c r="B73" s="33">
        <f>B72+1</f>
        <v>1</v>
      </c>
      <c r="C73" s="34">
        <v>0</v>
      </c>
    </row>
    <row r="74" ht="21" customHeight="1" spans="1:3" x14ac:dyDescent="0.25">
      <c r="A74" s="40" t="s">
        <v>140</v>
      </c>
      <c r="B74" s="33">
        <f>B73+1</f>
        <v>2</v>
      </c>
      <c r="C74" s="34" t="e">
        <f>C70-C71+C72-C73</f>
        <v>#VALUE!</v>
      </c>
    </row>
    <row r="75" ht="21" customHeight="1" spans="1:3" x14ac:dyDescent="0.25">
      <c r="A75" s="42" t="s">
        <v>141</v>
      </c>
      <c r="B75" s="19"/>
      <c r="C75" s="4"/>
    </row>
    <row r="79" spans="1:3" x14ac:dyDescent="0.25">
      <c r="A79" s="19"/>
      <c r="B79" s="19"/>
      <c r="C79" s="4"/>
    </row>
    <row r="80" spans="1:3" x14ac:dyDescent="0.25">
      <c r="A80" s="19"/>
      <c r="B80" s="19"/>
      <c r="C80" s="4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 zoomScale="100" zoomScaleNormal="100">
      <selection activeCell="A1" sqref="A1"/>
    </sheetView>
  </sheetViews>
  <sheetFormatPr defaultRowHeight="21" outlineLevelRow="0" outlineLevelCol="2" x14ac:dyDescent="0" defaultColWidth="9.14814814814815" customHeight="1"/>
  <cols>
    <col min="1" max="16384" width="9.14814814814815" customWidth="1"/>
  </cols>
  <sheetData>
    <row r="1" ht="28" customHeight="1" x14ac:dyDescent="0.25"/>
    <row r="2" ht="21" customHeight="1" spans="1:3" x14ac:dyDescent="0.25">
      <c r="A2" s="43" t="s">
        <v>142</v>
      </c>
      <c r="B2" s="44"/>
      <c r="C2" s="45"/>
    </row>
    <row r="3" ht="21" customHeight="1" spans="1:3" x14ac:dyDescent="0.25">
      <c r="A3" s="7"/>
      <c r="B3" s="2"/>
      <c r="C3" s="46" t="s">
        <v>143</v>
      </c>
    </row>
    <row r="4" ht="21" customHeight="1" spans="1:3" x14ac:dyDescent="0.25">
      <c r="A4" s="8" t="s">
        <v>144</v>
      </c>
      <c r="B4" s="9" t="s">
        <v>145</v>
      </c>
      <c r="C4" s="47" t="s">
        <v>146</v>
      </c>
    </row>
    <row r="5" ht="21" customHeight="1" spans="1:3" x14ac:dyDescent="0.25">
      <c r="A5" s="10" t="s">
        <v>3</v>
      </c>
      <c r="B5" s="11" t="s">
        <v>4</v>
      </c>
      <c r="C5" s="48" t="s">
        <v>147</v>
      </c>
    </row>
    <row r="6" ht="21" customHeight="1" spans="1:3" x14ac:dyDescent="0.25">
      <c r="A6" s="12" t="s">
        <v>5</v>
      </c>
      <c r="B6" s="13">
        <v>0</v>
      </c>
      <c r="C6" s="34">
        <v>0</v>
      </c>
    </row>
    <row r="7" ht="21" customHeight="1" spans="1:3" x14ac:dyDescent="0.25">
      <c r="A7" s="12" t="s">
        <v>6</v>
      </c>
      <c r="B7" s="13" t="s">
        <v>7</v>
      </c>
      <c r="C7" s="34">
        <f>0</f>
        <v>0</v>
      </c>
    </row>
    <row r="8" ht="21" customHeight="1" spans="1:3" x14ac:dyDescent="0.25">
      <c r="A8" s="12" t="s">
        <v>8</v>
      </c>
      <c r="B8" s="13"/>
      <c r="C8" s="34">
        <f>0</f>
        <v>0</v>
      </c>
    </row>
    <row r="9" ht="21" customHeight="1" spans="1:3" x14ac:dyDescent="0.25">
      <c r="A9" s="12" t="s">
        <v>9</v>
      </c>
      <c r="B9" s="13"/>
      <c r="C9" s="34">
        <f>0</f>
        <v>0</v>
      </c>
    </row>
    <row r="10" ht="21" customHeight="1" spans="1:3" x14ac:dyDescent="0.25">
      <c r="A10" s="12" t="s">
        <v>10</v>
      </c>
      <c r="B10" s="13">
        <f>0</f>
        <v>0</v>
      </c>
      <c r="C10" s="34">
        <f>SUM(C7:C9)</f>
        <v>0</v>
      </c>
    </row>
    <row r="11" ht="21" customHeight="1" spans="1:3" x14ac:dyDescent="0.25">
      <c r="A11" s="12" t="s">
        <v>12</v>
      </c>
      <c r="B11" s="13">
        <f>0</f>
        <v>0</v>
      </c>
      <c r="C11" s="34">
        <f>0</f>
        <v>0</v>
      </c>
    </row>
    <row r="12" ht="21" customHeight="1" spans="1:3" x14ac:dyDescent="0.25">
      <c r="A12" s="12" t="s">
        <v>14</v>
      </c>
      <c r="B12" s="13"/>
      <c r="C12" s="34">
        <f>0</f>
        <v>0</v>
      </c>
    </row>
    <row r="13" ht="21" customHeight="1" spans="1:3" x14ac:dyDescent="0.25">
      <c r="A13" s="12" t="s">
        <v>15</v>
      </c>
      <c r="B13" s="13">
        <f>0</f>
        <v>0</v>
      </c>
      <c r="C13" s="34">
        <f>0</f>
        <v>0</v>
      </c>
    </row>
    <row r="14" ht="21" customHeight="1" spans="1:3" x14ac:dyDescent="0.25">
      <c r="A14" s="12" t="s">
        <v>17</v>
      </c>
      <c r="B14" s="13">
        <f>0</f>
        <v>0</v>
      </c>
      <c r="C14" s="34">
        <f>0</f>
        <v>0</v>
      </c>
    </row>
    <row r="15" ht="21" customHeight="1" spans="1:3" x14ac:dyDescent="0.25">
      <c r="A15" s="12" t="s">
        <v>19</v>
      </c>
      <c r="B15" s="13">
        <f>0</f>
        <v>0</v>
      </c>
      <c r="C15" s="34">
        <f>SUM(C11:C14)</f>
        <v>0</v>
      </c>
    </row>
    <row r="16" ht="21" customHeight="1" spans="1:3" x14ac:dyDescent="0.25">
      <c r="A16" s="12" t="s">
        <v>21</v>
      </c>
      <c r="B16" s="13">
        <f>0</f>
        <v>0</v>
      </c>
      <c r="C16" s="34">
        <f>C10-C15</f>
        <v>0</v>
      </c>
    </row>
    <row r="17" ht="21" customHeight="1" spans="1:3" x14ac:dyDescent="0.25">
      <c r="A17" s="12" t="s">
        <v>23</v>
      </c>
      <c r="B17" s="13"/>
      <c r="C17" s="34"/>
    </row>
    <row r="18" ht="21" customHeight="1" spans="1:3" x14ac:dyDescent="0.25">
      <c r="A18" s="12" t="s">
        <v>24</v>
      </c>
      <c r="B18" s="13">
        <f>0</f>
        <v>0</v>
      </c>
      <c r="C18" s="34">
        <f>0</f>
        <v>0</v>
      </c>
    </row>
    <row r="19" ht="21" customHeight="1" spans="1:3" x14ac:dyDescent="0.25">
      <c r="A19" s="12" t="s">
        <v>26</v>
      </c>
      <c r="B19" s="13">
        <f>0</f>
        <v>0</v>
      </c>
      <c r="C19" s="34">
        <f>0</f>
        <v>0</v>
      </c>
    </row>
    <row r="20" ht="21" customHeight="1" spans="1:3" x14ac:dyDescent="0.25">
      <c r="A20" s="12" t="s">
        <v>28</v>
      </c>
      <c r="B20" s="13"/>
      <c r="C20" s="34">
        <f>0</f>
        <v>0</v>
      </c>
    </row>
    <row r="21" ht="21" customHeight="1" spans="1:3" x14ac:dyDescent="0.25">
      <c r="A21" s="12" t="s">
        <v>29</v>
      </c>
      <c r="B21" s="13">
        <f>0</f>
        <v>0</v>
      </c>
      <c r="C21" s="34">
        <f>0</f>
        <v>0</v>
      </c>
    </row>
    <row r="22" ht="21" customHeight="1" spans="1:3" x14ac:dyDescent="0.25">
      <c r="A22" s="12" t="s">
        <v>31</v>
      </c>
      <c r="B22" s="13">
        <f>0</f>
        <v>0</v>
      </c>
      <c r="C22" s="34">
        <f>0</f>
        <v>0</v>
      </c>
    </row>
    <row r="23" ht="21" customHeight="1" spans="1:3" x14ac:dyDescent="0.25">
      <c r="A23" s="12" t="s">
        <v>33</v>
      </c>
      <c r="B23" s="13">
        <f>0</f>
        <v>0</v>
      </c>
      <c r="C23" s="34">
        <f>SUM(C18:C22)</f>
        <v>0</v>
      </c>
    </row>
    <row r="24" ht="21" customHeight="1" spans="1:3" x14ac:dyDescent="0.25">
      <c r="A24" s="12" t="s">
        <v>35</v>
      </c>
      <c r="B24" s="13">
        <f>0</f>
        <v>0</v>
      </c>
      <c r="C24" s="34">
        <f>0</f>
        <v>0</v>
      </c>
    </row>
    <row r="25" ht="21" customHeight="1" spans="1:3" x14ac:dyDescent="0.25">
      <c r="A25" s="12" t="s">
        <v>36</v>
      </c>
      <c r="B25" s="13">
        <f>0</f>
        <v>0</v>
      </c>
      <c r="C25" s="34">
        <f>0</f>
        <v>0</v>
      </c>
    </row>
    <row r="26" ht="21" customHeight="1" spans="1:3" x14ac:dyDescent="0.25">
      <c r="A26" s="12" t="s">
        <v>38</v>
      </c>
      <c r="B26" s="13"/>
      <c r="C26" s="34">
        <f>0</f>
        <v>0</v>
      </c>
    </row>
    <row r="27" ht="21" customHeight="1" spans="1:3" x14ac:dyDescent="0.25">
      <c r="A27" s="15"/>
      <c r="B27" s="16"/>
      <c r="C27" s="34">
        <f>0</f>
        <v>0</v>
      </c>
    </row>
    <row r="28" ht="21" customHeight="1" spans="1:3" x14ac:dyDescent="0.25">
      <c r="A28" s="8" t="s">
        <v>39</v>
      </c>
      <c r="B28" s="17"/>
      <c r="C28" s="34">
        <f>SUM(C24:C27)</f>
        <v>0</v>
      </c>
    </row>
    <row r="29" ht="21" customHeight="1" spans="3:3" x14ac:dyDescent="0.25">
      <c r="C29" s="34">
        <f>C23-C28</f>
        <v>0</v>
      </c>
    </row>
    <row r="30" ht="21" customHeight="1" spans="1:3" x14ac:dyDescent="0.25">
      <c r="A30" s="28" t="s">
        <v>78</v>
      </c>
      <c r="B30" s="49">
        <f t="shared" ref="B30:B43" si="0">B29+1</f>
        <v>1</v>
      </c>
      <c r="C30" s="34"/>
    </row>
    <row r="31" ht="21" customHeight="1" spans="1:3" x14ac:dyDescent="0.25">
      <c r="A31" s="35" t="s">
        <v>148</v>
      </c>
      <c r="B31" s="49">
        <f t="shared" si="0"/>
        <v>2</v>
      </c>
      <c r="C31" s="34">
        <f>0</f>
        <v>0</v>
      </c>
    </row>
    <row r="32" ht="21" customHeight="1" spans="1:3" x14ac:dyDescent="0.25">
      <c r="A32" s="35" t="s">
        <v>149</v>
      </c>
      <c r="B32" s="49">
        <f t="shared" si="0"/>
        <v>3</v>
      </c>
      <c r="C32" s="34">
        <f>0</f>
        <v>0</v>
      </c>
    </row>
    <row r="33" ht="21" customHeight="1" spans="1:3" x14ac:dyDescent="0.25">
      <c r="A33" s="35" t="s">
        <v>85</v>
      </c>
      <c r="B33" s="49">
        <f t="shared" si="0"/>
        <v>4</v>
      </c>
      <c r="C33" s="34">
        <f>0</f>
        <v>0</v>
      </c>
    </row>
    <row r="34" ht="21" customHeight="1" spans="1:3" x14ac:dyDescent="0.25">
      <c r="A34" s="50" t="s">
        <v>150</v>
      </c>
      <c r="B34" s="49">
        <f t="shared" si="0"/>
        <v>5</v>
      </c>
      <c r="C34" s="34">
        <f>SUM(C31:C33)</f>
        <v>0</v>
      </c>
    </row>
    <row r="35" ht="21" customHeight="1" spans="1:3" x14ac:dyDescent="0.25">
      <c r="A35" s="35" t="s">
        <v>151</v>
      </c>
      <c r="B35" s="49">
        <f t="shared" si="0"/>
        <v>6</v>
      </c>
      <c r="C35" s="34">
        <f>0</f>
        <v>0</v>
      </c>
    </row>
    <row r="36" ht="21" customHeight="1" spans="1:3" x14ac:dyDescent="0.25">
      <c r="A36" s="35" t="s">
        <v>152</v>
      </c>
      <c r="B36" s="49">
        <f t="shared" si="0"/>
        <v>7</v>
      </c>
      <c r="C36" s="34">
        <f>0</f>
        <v>0</v>
      </c>
    </row>
    <row r="37" ht="21" customHeight="1" spans="1:3" x14ac:dyDescent="0.25">
      <c r="A37" s="35" t="s">
        <v>95</v>
      </c>
      <c r="B37" s="49">
        <f t="shared" si="0"/>
        <v>8</v>
      </c>
      <c r="C37" s="34">
        <f>0</f>
        <v>0</v>
      </c>
    </row>
    <row r="38" ht="21" customHeight="1" spans="1:3" x14ac:dyDescent="0.25">
      <c r="A38" s="50" t="s">
        <v>153</v>
      </c>
      <c r="B38" s="49">
        <f t="shared" si="0"/>
        <v>9</v>
      </c>
      <c r="C38" s="34">
        <f>SUM(C35:C37)</f>
        <v>0</v>
      </c>
    </row>
    <row r="39" ht="21" customHeight="1" spans="1:3" x14ac:dyDescent="0.25">
      <c r="A39" s="40" t="s">
        <v>154</v>
      </c>
      <c r="B39" s="49">
        <f t="shared" si="0"/>
        <v>10</v>
      </c>
      <c r="C39" s="34">
        <f>C34-C38</f>
        <v>0</v>
      </c>
    </row>
    <row r="40" ht="21" customHeight="1" spans="1:3" x14ac:dyDescent="0.25">
      <c r="A40" s="40" t="s">
        <v>155</v>
      </c>
      <c r="B40" s="49">
        <f t="shared" si="0"/>
        <v>11</v>
      </c>
      <c r="C40" s="34">
        <f>0</f>
        <v>0</v>
      </c>
    </row>
    <row r="41" ht="21" customHeight="1" spans="1:3" x14ac:dyDescent="0.25">
      <c r="A41" s="40" t="s">
        <v>156</v>
      </c>
      <c r="B41" s="49">
        <f t="shared" si="0"/>
        <v>12</v>
      </c>
      <c r="C41" s="34">
        <f>C16+C29+C39+C40</f>
        <v>0</v>
      </c>
    </row>
    <row r="42" ht="21" customHeight="1" spans="1:3" x14ac:dyDescent="0.25">
      <c r="A42" s="40" t="s">
        <v>157</v>
      </c>
      <c r="B42" s="49">
        <f t="shared" si="0"/>
        <v>13</v>
      </c>
      <c r="C42" s="36">
        <f>0</f>
        <v>0</v>
      </c>
    </row>
    <row r="43" ht="21" customHeight="1" spans="1:3" x14ac:dyDescent="0.25">
      <c r="A43" s="51" t="s">
        <v>158</v>
      </c>
      <c r="B43" s="49">
        <f t="shared" si="0"/>
        <v>14</v>
      </c>
      <c r="C43" s="34">
        <f>0</f>
        <v>0</v>
      </c>
    </row>
    <row r="44" ht="21" customHeight="1" spans="1:3" x14ac:dyDescent="0.25">
      <c r="A44" s="52"/>
      <c r="B44" s="52"/>
      <c r="C44" s="46"/>
    </row>
    <row r="45" ht="21" customHeight="1" spans="1:3" x14ac:dyDescent="0.25">
      <c r="A45" s="53" t="s">
        <v>159</v>
      </c>
      <c r="B45" s="54" t="s">
        <v>160</v>
      </c>
      <c r="C45" s="48" t="s">
        <v>4</v>
      </c>
    </row>
    <row r="46" ht="21" customHeight="1" spans="1:3" x14ac:dyDescent="0.25">
      <c r="A46" s="55" t="s">
        <v>161</v>
      </c>
      <c r="B46" s="33">
        <f>B43+1</f>
        <v>15</v>
      </c>
      <c r="C46" s="34"/>
    </row>
    <row r="47" ht="21" customHeight="1" spans="1:3" x14ac:dyDescent="0.25">
      <c r="A47" s="56" t="s">
        <v>162</v>
      </c>
      <c r="B47" s="33">
        <f t="shared" ref="B47:B74" si="1">B46+1</f>
        <v>16</v>
      </c>
      <c r="C47" s="34">
        <f>292967.56</f>
        <v>292967.56</v>
      </c>
    </row>
    <row r="48" ht="21" customHeight="1" spans="1:3" x14ac:dyDescent="0.25">
      <c r="A48" s="35" t="s">
        <v>163</v>
      </c>
      <c r="B48" s="33">
        <f t="shared" si="1"/>
        <v>17</v>
      </c>
      <c r="C48" s="34">
        <f>0</f>
        <v>0</v>
      </c>
    </row>
    <row r="49" ht="21" customHeight="1" spans="1:3" x14ac:dyDescent="0.25">
      <c r="A49" s="35" t="s">
        <v>164</v>
      </c>
      <c r="B49" s="33">
        <f t="shared" si="1"/>
        <v>18</v>
      </c>
      <c r="C49" s="34">
        <f>0</f>
        <v>0</v>
      </c>
    </row>
    <row r="50" ht="21" customHeight="1" spans="1:3" x14ac:dyDescent="0.25">
      <c r="A50" s="35" t="s">
        <v>107</v>
      </c>
      <c r="B50" s="33">
        <f t="shared" si="1"/>
        <v>19</v>
      </c>
      <c r="C50" s="34">
        <f>0</f>
        <v>0</v>
      </c>
    </row>
    <row r="51" ht="21" customHeight="1" spans="1:3" x14ac:dyDescent="0.25">
      <c r="A51" s="35" t="s">
        <v>109</v>
      </c>
      <c r="B51" s="33">
        <f t="shared" si="1"/>
        <v>20</v>
      </c>
      <c r="C51" s="34">
        <f>0</f>
        <v>0</v>
      </c>
    </row>
    <row r="52" ht="21" customHeight="1" spans="1:3" x14ac:dyDescent="0.25">
      <c r="A52" s="35" t="s">
        <v>111</v>
      </c>
      <c r="B52" s="33">
        <f t="shared" si="1"/>
        <v>21</v>
      </c>
      <c r="C52" s="34"/>
    </row>
    <row r="53" ht="21" customHeight="1" spans="1:3" x14ac:dyDescent="0.25">
      <c r="A53" s="35" t="s">
        <v>112</v>
      </c>
      <c r="B53" s="33">
        <f t="shared" si="1"/>
        <v>22</v>
      </c>
      <c r="C53" s="34"/>
    </row>
    <row r="54" ht="21" customHeight="1" spans="1:3" x14ac:dyDescent="0.25">
      <c r="A54" s="35" t="s">
        <v>113</v>
      </c>
      <c r="B54" s="33">
        <f t="shared" si="1"/>
        <v>23</v>
      </c>
      <c r="C54" s="34"/>
    </row>
    <row r="55" ht="21" customHeight="1" spans="1:3" x14ac:dyDescent="0.25">
      <c r="A55" s="35" t="s">
        <v>114</v>
      </c>
      <c r="B55" s="33">
        <f t="shared" si="1"/>
        <v>24</v>
      </c>
      <c r="C55" s="34"/>
    </row>
    <row r="56" ht="21" customHeight="1" spans="1:3" x14ac:dyDescent="0.25">
      <c r="A56" s="35" t="s">
        <v>115</v>
      </c>
      <c r="B56" s="33">
        <f t="shared" si="1"/>
        <v>25</v>
      </c>
      <c r="C56" s="36">
        <f>150</f>
        <v>150</v>
      </c>
    </row>
    <row r="57" ht="21" customHeight="1" spans="1:3" x14ac:dyDescent="0.25">
      <c r="A57" s="35" t="s">
        <v>117</v>
      </c>
      <c r="B57" s="33">
        <f t="shared" si="1"/>
        <v>26</v>
      </c>
      <c r="C57" s="37">
        <f>0</f>
        <v>0</v>
      </c>
    </row>
    <row r="58" ht="21" customHeight="1" spans="1:3" x14ac:dyDescent="0.25">
      <c r="A58" s="35" t="s">
        <v>165</v>
      </c>
      <c r="B58" s="33">
        <f t="shared" si="1"/>
        <v>27</v>
      </c>
      <c r="C58" s="38">
        <f>0</f>
        <v>0</v>
      </c>
    </row>
    <row r="59" ht="21" customHeight="1" spans="1:3" x14ac:dyDescent="0.25">
      <c r="A59" s="35" t="s">
        <v>166</v>
      </c>
      <c r="B59" s="33">
        <f t="shared" si="1"/>
        <v>28</v>
      </c>
      <c r="C59" s="38"/>
    </row>
    <row r="60" ht="21" customHeight="1" spans="1:3" x14ac:dyDescent="0.25">
      <c r="A60" s="35" t="s">
        <v>121</v>
      </c>
      <c r="B60" s="33">
        <f t="shared" si="1"/>
        <v>29</v>
      </c>
      <c r="C60" s="34">
        <f>0</f>
        <v>0</v>
      </c>
    </row>
    <row r="61" ht="21" customHeight="1" spans="1:3" x14ac:dyDescent="0.25">
      <c r="A61" s="35" t="s">
        <v>123</v>
      </c>
      <c r="B61" s="33">
        <f t="shared" si="1"/>
        <v>30</v>
      </c>
      <c r="C61" s="34">
        <f>0</f>
        <v>0</v>
      </c>
    </row>
    <row r="62" ht="21" customHeight="1" spans="1:3" x14ac:dyDescent="0.25">
      <c r="A62" s="39" t="s">
        <v>125</v>
      </c>
      <c r="B62" s="33">
        <f t="shared" si="1"/>
        <v>31</v>
      </c>
      <c r="C62" s="34">
        <f>0</f>
        <v>0</v>
      </c>
    </row>
    <row r="63" ht="21" customHeight="1" spans="1:3" x14ac:dyDescent="0.25">
      <c r="A63" s="39" t="s">
        <v>127</v>
      </c>
      <c r="B63" s="33">
        <f t="shared" si="1"/>
        <v>32</v>
      </c>
      <c r="C63" s="34">
        <f>C16-C47-C48-C49-C50-C52-C51-C53-C54-C55-C56-C57-C58-C60-C61-C62</f>
        <v>-293117.56</v>
      </c>
    </row>
    <row r="64" ht="21" customHeight="1" spans="1:3" x14ac:dyDescent="0.25">
      <c r="A64" s="40" t="s">
        <v>128</v>
      </c>
      <c r="B64" s="33">
        <f t="shared" si="1"/>
        <v>33</v>
      </c>
      <c r="C64" s="34">
        <f>C47+C48+C49+C50+C51+C52+C53+C54+C55+C56+C57+C58+C60+C61+C62+C63</f>
        <v>0</v>
      </c>
    </row>
    <row r="65" ht="21" customHeight="1" spans="1:3" x14ac:dyDescent="0.25">
      <c r="A65" s="41" t="s">
        <v>129</v>
      </c>
      <c r="B65" s="33">
        <f t="shared" si="1"/>
        <v>34</v>
      </c>
      <c r="C65" s="34"/>
    </row>
    <row r="66" ht="21" customHeight="1" spans="1:3" x14ac:dyDescent="0.25">
      <c r="A66" s="35" t="s">
        <v>130</v>
      </c>
      <c r="B66" s="33">
        <f t="shared" si="1"/>
        <v>35</v>
      </c>
      <c r="C66" s="34"/>
    </row>
    <row r="67" ht="21" customHeight="1" spans="1:3" x14ac:dyDescent="0.25">
      <c r="A67" s="35" t="s">
        <v>131</v>
      </c>
      <c r="B67" s="33">
        <f t="shared" si="1"/>
        <v>36</v>
      </c>
      <c r="C67" s="34"/>
    </row>
    <row r="68" ht="21" customHeight="1" spans="1:3" x14ac:dyDescent="0.25">
      <c r="A68" s="35" t="s">
        <v>132</v>
      </c>
      <c r="B68" s="33">
        <f t="shared" si="1"/>
        <v>37</v>
      </c>
      <c r="C68" s="34"/>
    </row>
    <row r="69" ht="21" customHeight="1" spans="1:3" x14ac:dyDescent="0.25">
      <c r="A69" s="41" t="s">
        <v>133</v>
      </c>
      <c r="B69" s="33">
        <f t="shared" si="1"/>
        <v>38</v>
      </c>
      <c r="C69" s="34"/>
    </row>
    <row r="70" ht="21" customHeight="1" spans="1:3" x14ac:dyDescent="0.25">
      <c r="A70" s="35" t="s">
        <v>134</v>
      </c>
      <c r="B70" s="33">
        <f t="shared" si="1"/>
        <v>39</v>
      </c>
      <c r="C70" s="34">
        <f>0</f>
        <v>0</v>
      </c>
    </row>
    <row r="71" ht="21" customHeight="1" spans="1:3" x14ac:dyDescent="0.25">
      <c r="A71" s="35" t="s">
        <v>136</v>
      </c>
      <c r="B71" s="33">
        <f t="shared" si="1"/>
        <v>40</v>
      </c>
      <c r="C71" s="34">
        <f>0</f>
        <v>0</v>
      </c>
    </row>
    <row r="72" ht="21" customHeight="1" spans="1:3" x14ac:dyDescent="0.25">
      <c r="A72" s="35" t="s">
        <v>138</v>
      </c>
      <c r="B72" s="33">
        <f t="shared" si="1"/>
        <v>41</v>
      </c>
      <c r="C72" s="34">
        <f>0</f>
        <v>0</v>
      </c>
    </row>
    <row r="73" ht="21" customHeight="1" spans="1:3" x14ac:dyDescent="0.25">
      <c r="A73" s="39" t="s">
        <v>139</v>
      </c>
      <c r="B73" s="33">
        <f t="shared" si="1"/>
        <v>42</v>
      </c>
      <c r="C73" s="34">
        <f>0</f>
        <v>0</v>
      </c>
    </row>
    <row r="74" ht="21" customHeight="1" spans="1:3" x14ac:dyDescent="0.25">
      <c r="A74" s="40" t="s">
        <v>140</v>
      </c>
      <c r="B74" s="33">
        <f t="shared" si="1"/>
        <v>43</v>
      </c>
      <c r="C74" s="34">
        <f>C70-C71+C72-C73</f>
        <v>0</v>
      </c>
    </row>
    <row r="75" ht="21" customHeight="1" spans="1:3" x14ac:dyDescent="0.25">
      <c r="A75" s="42" t="s">
        <v>141</v>
      </c>
      <c r="B75" s="19"/>
      <c r="C75" s="4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现金流量表(定义)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罗钧</cp:lastModifiedBy>
  <dcterms:created xsi:type="dcterms:W3CDTF">2026-05-19T09:26:27Z</dcterms:created>
  <dcterms:modified xsi:type="dcterms:W3CDTF">2026-05-19T09:26:39Z</dcterms:modified>
</cp:coreProperties>
</file>