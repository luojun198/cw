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 tabRatio="1000"/>
  </bookViews>
  <sheets>
    <sheet name="现金流量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<sst xmlns="http://schemas.openxmlformats.org/spreadsheetml/2006/main" count="268" uniqueCount="167">
  <si>
    <t>本年盈余与预算结余的差异</t>
  </si>
  <si>
    <t xml:space="preserve">纳税人名称：%U      </t>
  </si>
  <si>
    <t>%YH%MH</t>
  </si>
  <si>
    <t>项         目</t>
  </si>
  <si>
    <t>金   额</t>
  </si>
  <si>
    <t>一、本年预算结余（本年预算收支差额）</t>
  </si>
  <si>
    <t>二、差异调节</t>
  </si>
  <si>
    <t>--</t>
  </si>
  <si>
    <t>（一）重要事项的差异</t>
  </si>
  <si>
    <t>加：1.当期确认为收入但没有确认为预算收入</t>
  </si>
  <si>
    <t xml:space="preserve">  （1）应收款项、预收账款确认的收入</t>
  </si>
  <si>
    <t>@ys_cy(111,1,99)</t>
  </si>
  <si>
    <t xml:space="preserve">  （2）接受非货币性资产捐赠确认的收入</t>
  </si>
  <si>
    <t>@ys_cy(112,1,99)</t>
  </si>
  <si>
    <t xml:space="preserve">  2.当期确认为预算支出但没有确认为费用</t>
  </si>
  <si>
    <t xml:space="preserve">  （1）支付应付款项、预付账款的支出</t>
  </si>
  <si>
    <t>@ys_cy(121,1,99)</t>
  </si>
  <si>
    <t xml:space="preserve">  （2）为取得存货、政府储备物资等计入物资成本的支出</t>
  </si>
  <si>
    <t>@ys_cy(122,1,99)</t>
  </si>
  <si>
    <t xml:space="preserve">  （3）为购建固定资产等的资本性支出</t>
  </si>
  <si>
    <t>@ys_cy(123,1,99)</t>
  </si>
  <si>
    <t xml:space="preserve">  （4）偿还借款本息支出</t>
  </si>
  <si>
    <t>@ys_cy(124,1,99)</t>
  </si>
  <si>
    <t>减：1.当期确认为预算收入但没有确认为收入</t>
  </si>
  <si>
    <t xml:space="preserve">  （1）收到应收款项、预收账款确认的预算收入</t>
  </si>
  <si>
    <t>@ys_cy(131,1,99)</t>
  </si>
  <si>
    <t xml:space="preserve">  （2）取得借款确认的预算收入</t>
  </si>
  <si>
    <t>@ys_cy(132,1,99)</t>
  </si>
  <si>
    <t xml:space="preserve">  2.当期确认为费用但没有确认为预算支出</t>
  </si>
  <si>
    <t xml:space="preserve">  （1）发出存货、政府储备物资等确认的费用</t>
  </si>
  <si>
    <t>@ys_cy(141,1,99)</t>
  </si>
  <si>
    <t xml:space="preserve">  （2）计提的折旧费用和摊销费用</t>
  </si>
  <si>
    <t>@ys_cy(142,1,99)</t>
  </si>
  <si>
    <t xml:space="preserve">  （3）确认的资产处置费用（处置资产价值）</t>
  </si>
  <si>
    <t>@ys_cy(143,1,99)</t>
  </si>
  <si>
    <t xml:space="preserve">  （4）应付款项、预付账款确认的费用</t>
  </si>
  <si>
    <t>（二）其他事项差异</t>
  </si>
  <si>
    <t>@ys_cy(2,1,99)</t>
  </si>
  <si>
    <t>三、本年盈余（本年收入与费用的差额）</t>
  </si>
  <si>
    <t>单位负责人：         财务负责人：            审核：              制表：</t>
  </si>
  <si>
    <t xml:space="preserve">  单位负责人：              财务负责人：              审核：              制表：</t>
  </si>
  <si>
    <t xml:space="preserve">        会政财04表</t>
  </si>
  <si>
    <t>会政财04表</t>
  </si>
  <si>
    <t xml:space="preserve">          单位：元   </t>
  </si>
  <si>
    <t xml:space="preserve">单位：元   </t>
  </si>
  <si>
    <t>上年金额</t>
  </si>
  <si>
    <t>@xj_je(1101,101,199)</t>
  </si>
  <si>
    <t>@xj_je(1101,99,99)</t>
  </si>
  <si>
    <t>@xj_je(1102,101,199)</t>
  </si>
  <si>
    <t>@xj_je(1102,99,99)</t>
  </si>
  <si>
    <t>@xj_je(1103,101,199)</t>
  </si>
  <si>
    <t>@xj_je(1201,99,99)</t>
  </si>
  <si>
    <t>@xj_je(1104,101,199)</t>
  </si>
  <si>
    <t>@xj_je(1202,99,99)</t>
  </si>
  <si>
    <t>@xj_je(1203,99,99)</t>
  </si>
  <si>
    <t>@xj_je(1201,101,199)</t>
  </si>
  <si>
    <t>@xj_je(1204,99,99)</t>
  </si>
  <si>
    <t>@xj_je(1202,101,199)</t>
  </si>
  <si>
    <t>@xj_je(1203,101,199)</t>
  </si>
  <si>
    <t>@xj_je(1204,101,199)</t>
  </si>
  <si>
    <t>@xj_je(2101,99,99)</t>
  </si>
  <si>
    <t>@xj_je(2102,99,99)</t>
  </si>
  <si>
    <t>@xj_je(2103,99,99)</t>
  </si>
  <si>
    <t>@xj_je(2201,99,99)</t>
  </si>
  <si>
    <t>@xj_je(2101,101,199)</t>
  </si>
  <si>
    <t>@xj_je(2202,99,99)</t>
  </si>
  <si>
    <t>@xj_je(2102,101,199)</t>
  </si>
  <si>
    <t>@xj_je(2103,101,199)</t>
  </si>
  <si>
    <t>@xj_je(2104,101,199)</t>
  </si>
  <si>
    <t>@xj_je(3101,99,99)</t>
  </si>
  <si>
    <t>@xj_je(3102,99,99)</t>
  </si>
  <si>
    <t>@xj_je(2201,101,199)</t>
  </si>
  <si>
    <t>@xj_je(3201,99,99)</t>
  </si>
  <si>
    <t>@xj_je(2202,101,199)</t>
  </si>
  <si>
    <t>@xj_je(3202,99,99)</t>
  </si>
  <si>
    <t>@xj_je(2203,101,199)</t>
  </si>
  <si>
    <t>@xj_je(3203,99,99)</t>
  </si>
  <si>
    <t>@xj_je(2204,101,199)</t>
  </si>
  <si>
    <t>@ye(1001,98)+ye(1002,98)+ye(1012,98)</t>
  </si>
  <si>
    <t>三、筹资活动产生的现金流量：</t>
  </si>
  <si>
    <t xml:space="preserve">    财政资本性项目拨款收到的现金</t>
  </si>
  <si>
    <t>@xj_je(3101,1,99)</t>
  </si>
  <si>
    <t>@xj_je(3101,101,199)</t>
  </si>
  <si>
    <t xml:space="preserve">    取得借款收到的现金</t>
  </si>
  <si>
    <t>@xj_je(3102,1,99)</t>
  </si>
  <si>
    <t>@xj_je(3102,101,199)</t>
  </si>
  <si>
    <t xml:space="preserve">    收到的其他与筹资活动有关的现金</t>
  </si>
  <si>
    <t>@xj_je(3103,1,99)</t>
  </si>
  <si>
    <t>@xj_je(3103,101,199)</t>
  </si>
  <si>
    <t xml:space="preserve">       筹资活动的现金流入小计</t>
  </si>
  <si>
    <t xml:space="preserve">    偿还借款支付的现金</t>
  </si>
  <si>
    <t>@xj_je(3201,1,99)</t>
  </si>
  <si>
    <t>@xj_je(3201,101,199)</t>
  </si>
  <si>
    <t xml:space="preserve">    偿还利息支付的现金</t>
  </si>
  <si>
    <t>@xj_je(3202,1,99)</t>
  </si>
  <si>
    <t>@xj_je(3202,101,199)</t>
  </si>
  <si>
    <t xml:space="preserve">    支付的其他与筹资活动有关的现金</t>
  </si>
  <si>
    <t>@xj_je(3203,1,99)</t>
  </si>
  <si>
    <t>@xj_je(3203,101,199)</t>
  </si>
  <si>
    <t xml:space="preserve">       筹资活动的现金流出小计</t>
  </si>
  <si>
    <t>　   　           筹资活动产生的现金流量净额</t>
  </si>
  <si>
    <t>四、汇率变动对现金的影响额</t>
  </si>
  <si>
    <t>@xj_je(4101,1,99)</t>
  </si>
  <si>
    <t>@xj_je(4101,101,199)</t>
  </si>
  <si>
    <t>五、现金净增加额</t>
  </si>
  <si>
    <t xml:space="preserve">   加：</t>
  </si>
  <si>
    <t xml:space="preserve">       固定资产折旧、生产性生物资产折旧</t>
  </si>
  <si>
    <t>@df(1602,1,99)+df(1622,1,99)</t>
  </si>
  <si>
    <t xml:space="preserve">       无形资产摊销</t>
  </si>
  <si>
    <t>@df(1702,1,99)</t>
  </si>
  <si>
    <t xml:space="preserve">       长期待摊费用摊销</t>
  </si>
  <si>
    <t>@df(1801,1,99)</t>
  </si>
  <si>
    <t xml:space="preserve">       待摊费用减少（减：增加）</t>
  </si>
  <si>
    <t xml:space="preserve">       预提费用增加（减：减少）</t>
  </si>
  <si>
    <t xml:space="preserve">       处置固定资产、无形资产和其他长期资产的损失（减：收益）</t>
  </si>
  <si>
    <t xml:space="preserve">       固定资产报废损失（收益以“－”号填列）</t>
  </si>
  <si>
    <t xml:space="preserve">       财务费用（收益以“－”号填列）</t>
  </si>
  <si>
    <t>@jqy(5603,1,99)</t>
  </si>
  <si>
    <t xml:space="preserve">       投资损失（收益以“－”号填列）</t>
  </si>
  <si>
    <t>@jqy(5111,1,99)</t>
  </si>
  <si>
    <t xml:space="preserve">      </t>
  </si>
  <si>
    <t xml:space="preserve"> </t>
  </si>
  <si>
    <t xml:space="preserve">       存货的减少（增加以“－”号填列）</t>
  </si>
  <si>
    <t>@nc(14)-ye(14,99)</t>
  </si>
  <si>
    <t xml:space="preserve">       经营性应收项目的减少（增加以“－”号填列）</t>
  </si>
  <si>
    <t>@nc(11)-ye(11,99)+nc(12)-ye(12,99)+nc(15)-ye(15,99)</t>
  </si>
  <si>
    <t xml:space="preserve">       经营性应付项目的增加（减少以“－”号填列）</t>
  </si>
  <si>
    <t>@nc(22)-ye(22,99)</t>
  </si>
  <si>
    <t xml:space="preserve">       其他</t>
  </si>
  <si>
    <t xml:space="preserve">      经营活动产生的现金流量净额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</si>
  <si>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</si>
  <si>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</si>
  <si>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</si>
  <si>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</si>
  <si>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3、现金及现金等价物净增加情况：</t>
  </si>
  <si>
    <t xml:space="preserve">   现金的期末余额</t>
  </si>
  <si>
    <t>@ye(1001,99)+ye(1002,99)+ye(1012,99)</t>
  </si>
  <si>
    <t xml:space="preserve">   减：现金的期初余额</t>
  </si>
  <si>
    <t>@nc(1001)+nc(1002)+nc(1012)</t>
  </si>
  <si>
    <t xml:space="preserve">   加：现金等价物的期末余额</t>
  </si>
  <si>
    <t xml:space="preserve">   减：现金等价物的期初余额</t>
  </si>
  <si>
    <t xml:space="preserve">      现金及现金等价物净增加额</t>
  </si>
  <si>
    <t>±¾ÄêÓ¯ÓàÓëÔ¤Ëã½áÓàµÄ²îÒì</t>
  </si>
  <si>
    <t xml:space="preserve">                      会企03表</t>
  </si>
  <si>
    <t xml:space="preserve">纳税人名称：深圳市润衡财经软件有限公司      </t>
  </si>
  <si>
    <t>2019年03月</t>
  </si>
  <si>
    <t xml:space="preserve">                      单位：元   </t>
  </si>
  <si>
    <t>金     额</t>
  </si>
  <si>
    <t xml:space="preserve">    吸收投资所收到的现金</t>
  </si>
  <si>
    <t xml:space="preserve">    取得借款所收到的现金</t>
  </si>
  <si>
    <t>筹资活动现金流入小计</t>
  </si>
  <si>
    <t xml:space="preserve">    偿还债务所支付的现金</t>
  </si>
  <si>
    <t xml:space="preserve">    分配股利、利润或偿付利息支付的现金</t>
  </si>
  <si>
    <t>筹资活动现金流出小计</t>
  </si>
  <si>
    <t xml:space="preserve">    筹资活动产生的现金流量净额</t>
  </si>
  <si>
    <t>四、汇率变动对现金的影响</t>
  </si>
  <si>
    <t>五、现金及现金等价物净增加额</t>
  </si>
  <si>
    <t>期初现金及现金等价物余额</t>
  </si>
  <si>
    <t>期末现金及现金等价物余额</t>
  </si>
  <si>
    <t>补 充 资 料</t>
  </si>
  <si>
    <t>行 次</t>
  </si>
  <si>
    <t>1、将净利润调节为经营活动现金流量：</t>
  </si>
  <si>
    <t xml:space="preserve">   净利润</t>
  </si>
  <si>
    <t xml:space="preserve">   加：资产减值准备</t>
  </si>
  <si>
    <t xml:space="preserve">       固定资产折旧、油气资产折耗、生产性生物资产折旧</t>
  </si>
  <si>
    <t xml:space="preserve">       递延所得税资产减少（增加以“－”号填列）</t>
  </si>
  <si>
    <t xml:space="preserve">       递延所得税负债增加（减少以“－”号填列）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</si>
</sst>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#,##0.00_);[Red]\(#,##0.00\)"/>
    <numFmt numFmtId="177" formatCode="#,##0.00&quot;￥&quot;;[Red]\-#,##0.00&quot;￥&quot;"/>
    <numFmt numFmtId="178" formatCode="#,##0_);[Red]\(#,##0\)"/>
    <numFmt numFmtId="179" formatCode="#,##0&quot;￥&quot;;[Red]\-#,##0&quot;￥&quot;"/>
    <numFmt numFmtId="180" formatCode="#,##0.00;\-#,##0.00;#"/>
  </numFmts>
  <fonts count="37">
    <font>
      <sz val="12"/>
      <color indexed="8"/>
      <name val="Arial"/>
      <charset val="0"/>
    </font>
    <font>
      <sz val="10.5"/>
      <name val="Arial"/>
      <charset val="0"/>
    </font>
    <font>
      <b/>
      <sz val="22"/>
      <color indexed="16"/>
      <name val="宋体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b/>
      <sz val="10.5"/>
      <name val="宋体"/>
      <charset val="134"/>
    </font>
    <font>
      <sz val="10.5"/>
      <name val="宋体"/>
      <charset val="134"/>
    </font>
    <font>
      <sz val="20"/>
      <name val="宋体"/>
      <charset val="134"/>
    </font>
    <font>
      <sz val="12"/>
      <color indexed="8"/>
      <name val="宋体"/>
      <charset val="134"/>
    </font>
    <font>
      <sz val="9"/>
      <name val="宋体"/>
      <charset val="136"/>
    </font>
    <font>
      <sz val="12"/>
      <name val="宋体"/>
      <charset val="0"/>
    </font>
    <font>
      <sz val="10"/>
      <color indexed="8"/>
      <name val="MS Sans Serif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Protection="0"/>
    <xf numFmtId="177" fontId="16" fillId="0" borderId="0" applyFont="0" applyFill="0" applyProtection="0"/>
    <xf numFmtId="9" fontId="16" fillId="0" borderId="0" applyFont="0" applyFill="0" applyProtection="0"/>
    <xf numFmtId="178" fontId="16" fillId="0" borderId="0" applyFont="0" applyFill="0" applyProtection="0"/>
    <xf numFmtId="179" fontId="16" fillId="0" borderId="0" applyFont="0" applyFill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" borderId="1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4" applyNumberFormat="0" applyAlignment="0" applyProtection="0">
      <alignment vertical="center"/>
    </xf>
    <xf numFmtId="0" fontId="27" fillId="4" borderId="15" applyNumberFormat="0" applyAlignment="0" applyProtection="0">
      <alignment vertical="center"/>
    </xf>
    <xf numFmtId="0" fontId="28" fillId="4" borderId="14" applyNumberFormat="0" applyAlignment="0" applyProtection="0">
      <alignment vertical="center"/>
    </xf>
    <xf numFmtId="0" fontId="29" fillId="5" borderId="16" applyNumberFormat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Alignment="1">
      <alignment horizontal="centerContinuous"/>
    </xf>
    <xf numFmtId="180" fontId="1" fillId="0" borderId="0" xfId="0" applyNumberFormat="1" applyFont="1" applyAlignment="1">
      <alignment horizontal="centerContinuous"/>
    </xf>
    <xf numFmtId="180" fontId="1" fillId="0" borderId="0" xfId="0" applyNumberFormat="1" applyFont="1" applyAlignment="1">
      <alignment horizontal="centerContinuous" vertical="center"/>
    </xf>
    <xf numFmtId="0" fontId="2" fillId="0" borderId="0" xfId="0" applyNumberFormat="1" applyFont="1" applyFill="1" applyAlignment="1" applyProtection="1">
      <alignment horizontal="centerContinuous" vertical="center"/>
    </xf>
    <xf numFmtId="180" fontId="1" fillId="0" borderId="0" xfId="0" applyNumberFormat="1" applyFont="1"/>
    <xf numFmtId="180" fontId="3" fillId="0" borderId="0" xfId="0" applyNumberFormat="1" applyFont="1" applyFill="1" applyAlignment="1" applyProtection="1"/>
    <xf numFmtId="0" fontId="4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>
      <alignment horizontal="left" vertical="center"/>
    </xf>
    <xf numFmtId="180" fontId="3" fillId="0" borderId="0" xfId="0" applyNumberFormat="1" applyFont="1" applyFill="1" applyAlignment="1" applyProtection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180" fontId="4" fillId="0" borderId="2" xfId="0" applyNumberFormat="1" applyFont="1" applyFill="1" applyBorder="1" applyAlignment="1" applyProtection="1">
      <alignment horizontal="center" vertical="center"/>
    </xf>
    <xf numFmtId="180" fontId="3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vertical="center"/>
    </xf>
    <xf numFmtId="180" fontId="6" fillId="0" borderId="3" xfId="0" applyNumberFormat="1" applyFont="1" applyFill="1" applyBorder="1" applyAlignment="1" applyProtection="1">
      <alignment horizontal="right" vertical="center"/>
    </xf>
    <xf numFmtId="180" fontId="7" fillId="0" borderId="2" xfId="0" applyNumberFormat="1" applyFont="1" applyFill="1" applyBorder="1" applyAlignment="1" applyProtection="1">
      <alignment horizontal="right" vertical="center"/>
    </xf>
    <xf numFmtId="0" fontId="4" fillId="0" borderId="0" xfId="0" applyNumberFormat="1" applyFont="1" applyFill="1" applyAlignment="1" applyProtection="1"/>
    <xf numFmtId="180" fontId="4" fillId="0" borderId="0" xfId="0" applyNumberFormat="1" applyFont="1" applyFill="1" applyAlignment="1" applyProtection="1"/>
    <xf numFmtId="180" fontId="8" fillId="0" borderId="0" xfId="0" applyNumberFormat="1" applyFont="1" applyFill="1" applyAlignment="1" applyProtection="1"/>
    <xf numFmtId="0" fontId="3" fillId="0" borderId="2" xfId="0" applyNumberFormat="1" applyFont="1" applyFill="1" applyBorder="1" applyAlignment="1" applyProtection="1">
      <alignment vertical="center"/>
    </xf>
    <xf numFmtId="0" fontId="7" fillId="0" borderId="4" xfId="0" applyNumberFormat="1" applyFont="1" applyFill="1" applyBorder="1" applyAlignment="1" applyProtection="1">
      <alignment horizontal="centerContinuous" vertical="center" wrapText="1"/>
    </xf>
    <xf numFmtId="0" fontId="7" fillId="0" borderId="2" xfId="0" applyNumberFormat="1" applyFont="1" applyFill="1" applyBorder="1" applyAlignment="1" applyProtection="1">
      <alignment vertical="center"/>
    </xf>
    <xf numFmtId="0" fontId="9" fillId="0" borderId="2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vertical="center"/>
    </xf>
    <xf numFmtId="180" fontId="7" fillId="0" borderId="1" xfId="0" applyNumberFormat="1" applyFont="1" applyFill="1" applyBorder="1" applyAlignment="1" applyProtection="1">
      <alignment horizontal="right" vertical="center"/>
    </xf>
    <xf numFmtId="0" fontId="9" fillId="0" borderId="2" xfId="0" applyNumberFormat="1" applyFont="1" applyFill="1" applyBorder="1" applyAlignment="1" applyProtection="1"/>
    <xf numFmtId="0" fontId="10" fillId="0" borderId="0" xfId="0" applyNumberFormat="1" applyFont="1" applyFill="1" applyAlignment="1" applyProtection="1"/>
    <xf numFmtId="180" fontId="10" fillId="0" borderId="0" xfId="0" applyNumberFormat="1" applyFont="1" applyFill="1" applyAlignment="1" applyProtection="1"/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vertical="center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vertical="center"/>
    </xf>
    <xf numFmtId="180" fontId="7" fillId="0" borderId="7" xfId="0" applyNumberFormat="1" applyFont="1" applyFill="1" applyBorder="1" applyAlignment="1" applyProtection="1">
      <alignment horizontal="right" vertical="center"/>
    </xf>
    <xf numFmtId="180" fontId="7" fillId="0" borderId="6" xfId="0" applyNumberFormat="1" applyFont="1" applyFill="1" applyBorder="1" applyAlignment="1" applyProtection="1">
      <alignment horizontal="right" vertical="center"/>
    </xf>
    <xf numFmtId="0" fontId="7" fillId="0" borderId="1" xfId="0" applyNumberFormat="1" applyFont="1" applyFill="1" applyBorder="1" applyAlignment="1" applyProtection="1">
      <alignment vertical="center"/>
    </xf>
    <xf numFmtId="0" fontId="3" fillId="0" borderId="8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Alignment="1" applyProtection="1">
      <alignment vertical="center"/>
    </xf>
    <xf numFmtId="0" fontId="6" fillId="0" borderId="0" xfId="0" applyNumberFormat="1" applyFont="1" applyFill="1" applyAlignment="1" applyProtection="1"/>
    <xf numFmtId="180" fontId="6" fillId="0" borderId="0" xfId="0" applyNumberFormat="1" applyFont="1" applyFill="1" applyAlignment="1" applyProtection="1"/>
    <xf numFmtId="0" fontId="8" fillId="0" borderId="0" xfId="0" applyFont="1"/>
    <xf numFmtId="180" fontId="11" fillId="0" borderId="0" xfId="0" applyNumberFormat="1" applyFont="1"/>
    <xf numFmtId="0" fontId="12" fillId="0" borderId="0" xfId="0" applyNumberFormat="1" applyFont="1" applyFill="1" applyAlignment="1" applyProtection="1">
      <alignment horizontal="centerContinuous"/>
    </xf>
    <xf numFmtId="180" fontId="11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 vertical="center"/>
    </xf>
    <xf numFmtId="180" fontId="4" fillId="0" borderId="9" xfId="0" applyNumberFormat="1" applyFont="1" applyFill="1" applyBorder="1" applyAlignment="1" applyProtection="1">
      <alignment horizontal="left" vertical="center"/>
    </xf>
    <xf numFmtId="180" fontId="4" fillId="0" borderId="10" xfId="0" applyNumberFormat="1" applyFont="1" applyFill="1" applyBorder="1" applyAlignment="1" applyProtection="1">
      <alignment horizontal="center" vertical="center"/>
    </xf>
    <xf numFmtId="180" fontId="6" fillId="0" borderId="2" xfId="0" applyNumberFormat="1" applyFont="1" applyFill="1" applyBorder="1" applyAlignment="1" applyProtection="1">
      <alignment horizontal="right" vertical="center"/>
    </xf>
    <xf numFmtId="180" fontId="6" fillId="0" borderId="3" xfId="0" applyNumberFormat="1" applyFont="1" applyFill="1" applyBorder="1" applyAlignment="1" applyProtection="1">
      <alignment horizontal="center" vertical="center"/>
    </xf>
    <xf numFmtId="180" fontId="6" fillId="0" borderId="1" xfId="0" applyNumberFormat="1" applyFont="1" applyFill="1" applyBorder="1" applyAlignment="1" applyProtection="1">
      <alignment horizontal="right" vertical="center"/>
    </xf>
    <xf numFmtId="180" fontId="3" fillId="0" borderId="2" xfId="0" applyNumberFormat="1" applyFont="1" applyFill="1" applyBorder="1" applyAlignment="1" applyProtection="1">
      <alignment horizontal="right" vertical="center"/>
    </xf>
    <xf numFmtId="180" fontId="6" fillId="0" borderId="6" xfId="0" applyNumberFormat="1" applyFont="1" applyFill="1" applyBorder="1" applyAlignment="1" applyProtection="1">
      <alignment horizontal="right" vertical="center"/>
    </xf>
    <xf numFmtId="180" fontId="3" fillId="0" borderId="1" xfId="0" applyNumberFormat="1" applyFont="1" applyFill="1" applyBorder="1" applyAlignment="1" applyProtection="1">
      <alignment horizontal="right" vertical="center"/>
    </xf>
    <xf numFmtId="0" fontId="13" fillId="0" borderId="0" xfId="0" applyFont="1"/>
    <xf numFmtId="0" fontId="6" fillId="0" borderId="2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Alignment="1" applyProtection="1"/>
    <xf numFmtId="0" fontId="3" fillId="0" borderId="4" xfId="0" applyNumberFormat="1" applyFont="1" applyFill="1" applyBorder="1" applyAlignment="1" applyProtection="1">
      <alignment vertical="center"/>
    </xf>
    <xf numFmtId="180" fontId="6" fillId="0" borderId="10" xfId="0" applyNumberFormat="1" applyFont="1" applyFill="1" applyBorder="1" applyAlignment="1" applyProtection="1">
      <alignment horizontal="right" vertical="center"/>
    </xf>
    <xf numFmtId="0" fontId="14" fillId="0" borderId="2" xfId="0" applyNumberFormat="1" applyFont="1" applyFill="1" applyBorder="1" applyAlignment="1" applyProtection="1">
      <alignment vertical="center"/>
    </xf>
    <xf numFmtId="0" fontId="1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80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63"/>
  <sheetViews>
    <sheetView showGridLines="0" showOutlineSymbols="0" tabSelected="1" zoomScaleSheetLayoutView="60" workbookViewId="0">
      <selection activeCell="A1" sqref="A1:B29"/>
    </sheetView>
  </sheetViews>
  <sheetFormatPr defaultColWidth="9.14814814814815" defaultRowHeight="21.6" customHeight="1" outlineLevelCol="1"/>
  <cols>
    <col min="1" max="1" width="52.1111111111111" style="59" customWidth="1"/>
    <col min="2" max="2" width="25.4444444444444" style="5" customWidth="1"/>
    <col min="3" max="3" width="18.4444444444444" customWidth="1"/>
    <col min="4" max="16384" width="9.14814814814815" customWidth="1"/>
  </cols>
  <sheetData>
    <row r="1" ht="6.75" customHeight="1" spans="1:2">
      <c r="A1" s="40"/>
      <c r="B1" s="41"/>
    </row>
    <row r="2" ht="20.25" customHeight="1" spans="1:2">
      <c r="A2" s="42" t="s">
        <v>0</v>
      </c>
      <c r="B2" s="43"/>
    </row>
    <row r="3" ht="12.7" customHeight="1" spans="1:2">
      <c r="A3" s="4"/>
      <c r="B3" s="41"/>
    </row>
    <row r="4" s="55" customFormat="1" customHeight="1" spans="1:2">
      <c r="A4" s="7" t="s">
        <v>1</v>
      </c>
      <c r="B4" s="8" t="s">
        <v>2</v>
      </c>
    </row>
    <row r="5" s="55" customFormat="1" customHeight="1" spans="1:2">
      <c r="A5" s="10" t="s">
        <v>3</v>
      </c>
      <c r="B5" s="11" t="s">
        <v>4</v>
      </c>
    </row>
    <row r="6" s="55" customFormat="1" customHeight="1" spans="1:2">
      <c r="A6" s="13" t="s">
        <v>5</v>
      </c>
      <c r="B6" s="14">
        <v>0</v>
      </c>
    </row>
    <row r="7" s="55" customFormat="1" customHeight="1" spans="1:2">
      <c r="A7" s="13" t="s">
        <v>6</v>
      </c>
      <c r="B7" s="48" t="s">
        <v>7</v>
      </c>
    </row>
    <row r="8" s="55" customFormat="1" customHeight="1" spans="1:2">
      <c r="A8" s="13" t="s">
        <v>8</v>
      </c>
      <c r="B8" s="14" t="e">
        <f>B9+B12-B17-B20</f>
        <v>#VALUE!</v>
      </c>
    </row>
    <row r="9" s="55" customFormat="1" customHeight="1" spans="1:2">
      <c r="A9" s="13" t="s">
        <v>9</v>
      </c>
      <c r="B9" s="14" t="e">
        <f>B10+B11</f>
        <v>#VALUE!</v>
      </c>
    </row>
    <row r="10" s="55" customFormat="1" customHeight="1" spans="1:2">
      <c r="A10" s="13" t="s">
        <v>10</v>
      </c>
      <c r="B10" s="14" t="s">
        <v>11</v>
      </c>
    </row>
    <row r="11" s="55" customFormat="1" customHeight="1" spans="1:2">
      <c r="A11" s="13" t="s">
        <v>12</v>
      </c>
      <c r="B11" s="14" t="s">
        <v>13</v>
      </c>
    </row>
    <row r="12" s="55" customFormat="1" customHeight="1" spans="1:2">
      <c r="A12" s="13" t="s">
        <v>14</v>
      </c>
      <c r="B12" s="14" t="e">
        <f>B13+B14+B15+B16</f>
        <v>#VALUE!</v>
      </c>
    </row>
    <row r="13" s="55" customFormat="1" customHeight="1" spans="1:2">
      <c r="A13" s="13" t="s">
        <v>15</v>
      </c>
      <c r="B13" s="14" t="s">
        <v>16</v>
      </c>
    </row>
    <row r="14" s="55" customFormat="1" customHeight="1" spans="1:2">
      <c r="A14" s="13" t="s">
        <v>17</v>
      </c>
      <c r="B14" s="14" t="s">
        <v>18</v>
      </c>
    </row>
    <row r="15" s="55" customFormat="1" customHeight="1" spans="1:2">
      <c r="A15" s="13" t="s">
        <v>19</v>
      </c>
      <c r="B15" s="14" t="s">
        <v>20</v>
      </c>
    </row>
    <row r="16" s="55" customFormat="1" customHeight="1" spans="1:2">
      <c r="A16" s="13" t="s">
        <v>21</v>
      </c>
      <c r="B16" s="14" t="s">
        <v>22</v>
      </c>
    </row>
    <row r="17" s="55" customFormat="1" customHeight="1" spans="1:2">
      <c r="A17" s="13" t="s">
        <v>23</v>
      </c>
      <c r="B17" s="14" t="e">
        <f>B18+B19</f>
        <v>#VALUE!</v>
      </c>
    </row>
    <row r="18" s="55" customFormat="1" customHeight="1" spans="1:2">
      <c r="A18" s="13" t="s">
        <v>24</v>
      </c>
      <c r="B18" s="14" t="s">
        <v>25</v>
      </c>
    </row>
    <row r="19" s="55" customFormat="1" customHeight="1" spans="1:2">
      <c r="A19" s="13" t="s">
        <v>26</v>
      </c>
      <c r="B19" s="14" t="s">
        <v>27</v>
      </c>
    </row>
    <row r="20" s="55" customFormat="1" customHeight="1" spans="1:2">
      <c r="A20" s="13" t="s">
        <v>28</v>
      </c>
      <c r="B20" s="14" t="e">
        <f>B21+B22+B23+B24</f>
        <v>#VALUE!</v>
      </c>
    </row>
    <row r="21" s="55" customFormat="1" customHeight="1" spans="1:2">
      <c r="A21" s="13" t="s">
        <v>29</v>
      </c>
      <c r="B21" s="14" t="s">
        <v>30</v>
      </c>
    </row>
    <row r="22" s="55" customFormat="1" customHeight="1" spans="1:2">
      <c r="A22" s="13" t="s">
        <v>31</v>
      </c>
      <c r="B22" s="14" t="s">
        <v>32</v>
      </c>
    </row>
    <row r="23" s="55" customFormat="1" customHeight="1" spans="1:2">
      <c r="A23" s="13" t="s">
        <v>33</v>
      </c>
      <c r="B23" s="14" t="s">
        <v>34</v>
      </c>
    </row>
    <row r="24" s="55" customFormat="1" customHeight="1" spans="1:2">
      <c r="A24" s="13" t="s">
        <v>35</v>
      </c>
      <c r="B24" s="14" t="s">
        <v>34</v>
      </c>
    </row>
    <row r="25" s="55" customFormat="1" customHeight="1" spans="1:2">
      <c r="A25" s="13" t="s">
        <v>36</v>
      </c>
      <c r="B25" s="14" t="s">
        <v>37</v>
      </c>
    </row>
    <row r="26" s="55" customFormat="1" customHeight="1" spans="1:2">
      <c r="A26" s="13" t="s">
        <v>38</v>
      </c>
      <c r="B26" s="14" t="e">
        <f>B6+B8+B25</f>
        <v>#VALUE!</v>
      </c>
    </row>
    <row r="27" s="55" customFormat="1" ht="14.25" customHeight="1" spans="1:2">
      <c r="A27" s="16"/>
      <c r="B27" s="17"/>
    </row>
    <row r="28" ht="18.75" customHeight="1" spans="1:2">
      <c r="A28" s="7" t="s">
        <v>39</v>
      </c>
      <c r="B28" s="18"/>
    </row>
    <row r="29" ht="13.5" customHeight="1" spans="1:2">
      <c r="A29" s="53"/>
      <c r="B29" s="53"/>
    </row>
    <row r="30" customHeight="1" spans="1:2">
      <c r="A30"/>
      <c r="B30"/>
    </row>
    <row r="31" customHeight="1" spans="1:2">
      <c r="A31"/>
      <c r="B31"/>
    </row>
    <row r="32" customHeight="1" spans="1:2">
      <c r="A32"/>
      <c r="B32"/>
    </row>
    <row r="33" customHeight="1" spans="1:2">
      <c r="A33"/>
      <c r="B33"/>
    </row>
    <row r="34" customHeight="1" spans="1:2">
      <c r="A34"/>
      <c r="B34"/>
    </row>
    <row r="35" customHeight="1" spans="1:2">
      <c r="A35"/>
      <c r="B35"/>
    </row>
    <row r="36" customHeight="1" spans="1:2">
      <c r="A36"/>
      <c r="B36"/>
    </row>
    <row r="37" customHeight="1" spans="1:2">
      <c r="A37"/>
      <c r="B37"/>
    </row>
    <row r="38" customHeight="1" spans="1:2">
      <c r="A38"/>
      <c r="B38"/>
    </row>
    <row r="39" customHeight="1" spans="1:2">
      <c r="A39"/>
      <c r="B39"/>
    </row>
    <row r="40" customHeight="1" spans="1:2">
      <c r="A40"/>
      <c r="B40"/>
    </row>
    <row r="41" customHeight="1" spans="1:2">
      <c r="A41"/>
      <c r="B41"/>
    </row>
    <row r="42" customHeight="1" spans="1:2">
      <c r="A42"/>
      <c r="B42"/>
    </row>
    <row r="43" customHeight="1" spans="1:2">
      <c r="A43"/>
      <c r="B43"/>
    </row>
    <row r="44" customHeight="1" spans="1:2">
      <c r="A44"/>
      <c r="B44"/>
    </row>
    <row r="45" customHeight="1" spans="1:2">
      <c r="A45"/>
      <c r="B45"/>
    </row>
    <row r="46" customHeight="1" spans="1:2">
      <c r="A46"/>
      <c r="B46"/>
    </row>
    <row r="47" customHeight="1" spans="1:2">
      <c r="A47"/>
      <c r="B47"/>
    </row>
    <row r="48" customHeight="1" spans="1:2">
      <c r="A48"/>
      <c r="B48"/>
    </row>
    <row r="49" customHeight="1" spans="1:2">
      <c r="A49"/>
      <c r="B49"/>
    </row>
    <row r="50" customHeight="1" spans="1:2">
      <c r="A50"/>
      <c r="B50"/>
    </row>
    <row r="51" customHeight="1" spans="1:2">
      <c r="A51"/>
      <c r="B51"/>
    </row>
    <row r="52" customHeight="1" spans="1:2">
      <c r="A52"/>
      <c r="B52"/>
    </row>
    <row r="53" customHeight="1" spans="1:2">
      <c r="A53"/>
      <c r="B53"/>
    </row>
    <row r="54" customHeight="1" spans="1:2">
      <c r="A54"/>
      <c r="B54"/>
    </row>
    <row r="55" customHeight="1" spans="1:2">
      <c r="A55"/>
      <c r="B55"/>
    </row>
    <row r="56" customHeight="1" spans="1:2">
      <c r="A56"/>
      <c r="B56"/>
    </row>
    <row r="57" customHeight="1" spans="1:2">
      <c r="A57"/>
      <c r="B57"/>
    </row>
    <row r="58" s="55" customFormat="1" customHeight="1" spans="1:2">
      <c r="A58" s="7" t="s">
        <v>40</v>
      </c>
      <c r="B58" s="18"/>
    </row>
    <row r="59" ht="12.7" customHeight="1" spans="1:2">
      <c r="A59" s="38"/>
      <c r="B59" s="39"/>
    </row>
    <row r="60" ht="12.7" customHeight="1"/>
    <row r="61" ht="12.7" customHeight="1"/>
    <row r="62" ht="12.7" customHeight="1"/>
    <row r="63" ht="12.7" customHeight="1" spans="1:2">
      <c r="A63" s="38"/>
      <c r="B63" s="39"/>
    </row>
  </sheetData>
  <printOptions horizontalCentered="1" verticalCentered="1"/>
  <pageMargins left="0" right="0" top="0.196850393700787" bottom="0" header="0" footer="0"/>
  <pageSetup paperSize="9" pageOrder="overThenDown" orientation="portrait" horizont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zoomScaleSheetLayoutView="60" workbookViewId="0">
      <selection activeCell="A1" sqref="A1:B29"/>
    </sheetView>
  </sheetViews>
  <sheetFormatPr defaultColWidth="9.14814814814815" defaultRowHeight="15" outlineLevelCol="3"/>
  <cols>
    <col min="1" max="16384" width="9.14814814814815" customWidth="1"/>
  </cols>
  <sheetData>
    <row r="1" spans="1:4">
      <c r="A1" s="40"/>
      <c r="B1" s="41"/>
    </row>
    <row r="2" ht="25.5" spans="1:4">
      <c r="A2" s="42" t="s">
        <v>0</v>
      </c>
      <c r="B2" s="43"/>
      <c r="C2" s="44"/>
      <c r="D2" s="44"/>
    </row>
    <row r="3" ht="27" spans="1:4">
      <c r="A3" s="4"/>
      <c r="B3" s="41"/>
      <c r="C3" s="17" t="s">
        <v>41</v>
      </c>
      <c r="D3" s="17" t="s">
        <v>42</v>
      </c>
    </row>
    <row r="4" spans="1:4">
      <c r="A4" s="7" t="s">
        <v>1</v>
      </c>
      <c r="B4" s="8" t="s">
        <v>2</v>
      </c>
      <c r="C4" s="45" t="s">
        <v>43</v>
      </c>
      <c r="D4" s="45" t="s">
        <v>44</v>
      </c>
    </row>
    <row r="5" spans="1:4">
      <c r="A5" s="10" t="s">
        <v>3</v>
      </c>
      <c r="B5" s="11" t="s">
        <v>4</v>
      </c>
      <c r="C5" s="46" t="s">
        <v>45</v>
      </c>
      <c r="D5" s="46" t="s">
        <v>45</v>
      </c>
    </row>
    <row r="6" spans="1:4">
      <c r="A6" s="13" t="s">
        <v>5</v>
      </c>
      <c r="B6" s="14">
        <v>0</v>
      </c>
      <c r="C6" s="47">
        <v>0</v>
      </c>
      <c r="D6" s="47">
        <v>0</v>
      </c>
    </row>
    <row r="7" spans="1:4">
      <c r="A7" s="13" t="s">
        <v>6</v>
      </c>
      <c r="B7" s="48" t="s">
        <v>7</v>
      </c>
      <c r="C7" s="47" t="s">
        <v>46</v>
      </c>
      <c r="D7" s="47" t="s">
        <v>47</v>
      </c>
    </row>
    <row r="8" spans="1:4">
      <c r="A8" s="13" t="s">
        <v>8</v>
      </c>
      <c r="B8" s="14" t="e">
        <f>B9+B12-B17-B20</f>
        <v>#VALUE!</v>
      </c>
      <c r="C8" s="47" t="s">
        <v>48</v>
      </c>
      <c r="D8" s="47" t="s">
        <v>49</v>
      </c>
    </row>
    <row r="9" spans="1:4">
      <c r="A9" s="13" t="s">
        <v>9</v>
      </c>
      <c r="B9" s="14" t="e">
        <f>B10+B11</f>
        <v>#VALUE!</v>
      </c>
      <c r="C9" s="47" t="s">
        <v>50</v>
      </c>
      <c r="D9" s="47" t="s">
        <v>51</v>
      </c>
    </row>
    <row r="10" spans="1:4">
      <c r="A10" s="13" t="s">
        <v>10</v>
      </c>
      <c r="B10" s="14" t="s">
        <v>11</v>
      </c>
      <c r="C10" s="49" t="s">
        <v>52</v>
      </c>
      <c r="D10" s="47" t="s">
        <v>53</v>
      </c>
    </row>
    <row r="11" spans="1:4">
      <c r="A11" s="13" t="s">
        <v>12</v>
      </c>
      <c r="B11" s="14" t="s">
        <v>13</v>
      </c>
      <c r="C11" s="50" t="e">
        <f>C7+C8+C9+C10</f>
        <v>#VALUE!</v>
      </c>
      <c r="D11" s="47" t="s">
        <v>54</v>
      </c>
    </row>
    <row r="12" spans="1:4">
      <c r="A12" s="13" t="s">
        <v>14</v>
      </c>
      <c r="B12" s="14" t="e">
        <f>B13+B14+B15+B16</f>
        <v>#VALUE!</v>
      </c>
      <c r="C12" s="51" t="s">
        <v>55</v>
      </c>
      <c r="D12" s="47" t="s">
        <v>56</v>
      </c>
    </row>
    <row r="13" spans="1:4">
      <c r="A13" s="13" t="s">
        <v>15</v>
      </c>
      <c r="B13" s="14" t="s">
        <v>16</v>
      </c>
      <c r="C13" s="47" t="s">
        <v>57</v>
      </c>
      <c r="D13" s="47" t="e">
        <f>D7+D8-D9-D10-D11-D12</f>
        <v>#VALUE!</v>
      </c>
    </row>
    <row r="14" spans="1:4">
      <c r="A14" s="13" t="s">
        <v>17</v>
      </c>
      <c r="B14" s="14" t="s">
        <v>18</v>
      </c>
      <c r="C14" s="47" t="s">
        <v>58</v>
      </c>
      <c r="D14" s="47"/>
    </row>
    <row r="15" spans="1:4">
      <c r="A15" s="13" t="s">
        <v>19</v>
      </c>
      <c r="B15" s="14" t="s">
        <v>20</v>
      </c>
      <c r="C15" s="49" t="s">
        <v>59</v>
      </c>
      <c r="D15" s="47" t="s">
        <v>60</v>
      </c>
    </row>
    <row r="16" spans="1:4">
      <c r="A16" s="13" t="s">
        <v>21</v>
      </c>
      <c r="B16" s="14" t="s">
        <v>22</v>
      </c>
      <c r="C16" s="52" t="e">
        <f>C12+C13+C14+C15</f>
        <v>#VALUE!</v>
      </c>
      <c r="D16" s="47" t="s">
        <v>61</v>
      </c>
    </row>
    <row r="17" spans="1:4">
      <c r="A17" s="13" t="s">
        <v>23</v>
      </c>
      <c r="B17" s="14" t="e">
        <f>B18+B19</f>
        <v>#VALUE!</v>
      </c>
      <c r="C17" s="50" t="e">
        <f>C11-C16</f>
        <v>#VALUE!</v>
      </c>
      <c r="D17" s="47" t="s">
        <v>62</v>
      </c>
    </row>
    <row r="18" spans="1:4">
      <c r="A18" s="13" t="s">
        <v>24</v>
      </c>
      <c r="B18" s="14" t="s">
        <v>25</v>
      </c>
      <c r="C18" s="51"/>
      <c r="D18" s="47" t="s">
        <v>63</v>
      </c>
    </row>
    <row r="19" spans="1:4">
      <c r="A19" s="13" t="s">
        <v>26</v>
      </c>
      <c r="B19" s="14" t="s">
        <v>27</v>
      </c>
      <c r="C19" s="47" t="s">
        <v>64</v>
      </c>
      <c r="D19" s="47" t="s">
        <v>65</v>
      </c>
    </row>
    <row r="20" spans="1:4">
      <c r="A20" s="13" t="s">
        <v>28</v>
      </c>
      <c r="B20" s="14" t="e">
        <f>B21+B22+B23+B24</f>
        <v>#VALUE!</v>
      </c>
      <c r="C20" s="47" t="s">
        <v>66</v>
      </c>
      <c r="D20" s="47" t="e">
        <f>D15+D16+D17-D18-D19</f>
        <v>#VALUE!</v>
      </c>
    </row>
    <row r="21" spans="1:4">
      <c r="A21" s="13" t="s">
        <v>29</v>
      </c>
      <c r="B21" s="14" t="s">
        <v>30</v>
      </c>
      <c r="C21" s="47" t="s">
        <v>67</v>
      </c>
      <c r="D21" s="47"/>
    </row>
    <row r="22" spans="1:4">
      <c r="A22" s="13" t="s">
        <v>31</v>
      </c>
      <c r="B22" s="14" t="s">
        <v>32</v>
      </c>
      <c r="C22" s="49" t="s">
        <v>68</v>
      </c>
      <c r="D22" s="47" t="s">
        <v>69</v>
      </c>
    </row>
    <row r="23" spans="1:4">
      <c r="A23" s="13" t="s">
        <v>33</v>
      </c>
      <c r="B23" s="14" t="s">
        <v>34</v>
      </c>
      <c r="C23" s="50" t="e">
        <f>C19+C20+C21+C22</f>
        <v>#VALUE!</v>
      </c>
      <c r="D23" s="47" t="s">
        <v>70</v>
      </c>
    </row>
    <row r="24" spans="1:4">
      <c r="A24" s="13" t="s">
        <v>35</v>
      </c>
      <c r="B24" s="14" t="s">
        <v>34</v>
      </c>
      <c r="C24" s="51" t="s">
        <v>71</v>
      </c>
      <c r="D24" s="47" t="s">
        <v>72</v>
      </c>
    </row>
    <row r="25" spans="1:4">
      <c r="A25" s="13" t="s">
        <v>36</v>
      </c>
      <c r="B25" s="14" t="s">
        <v>37</v>
      </c>
      <c r="C25" s="47" t="s">
        <v>73</v>
      </c>
      <c r="D25" s="47" t="s">
        <v>74</v>
      </c>
    </row>
    <row r="26" spans="1:4">
      <c r="A26" s="13" t="s">
        <v>38</v>
      </c>
      <c r="B26" s="14" t="e">
        <f>B6+B8+B25</f>
        <v>#VALUE!</v>
      </c>
      <c r="C26" s="47" t="s">
        <v>75</v>
      </c>
      <c r="D26" s="47" t="s">
        <v>76</v>
      </c>
    </row>
    <row r="27" spans="1:4">
      <c r="A27" s="16"/>
      <c r="B27" s="17"/>
      <c r="C27" s="49" t="s">
        <v>77</v>
      </c>
      <c r="D27" s="47" t="e">
        <f>D22+D23-D24-D25-D26</f>
        <v>#VALUE!</v>
      </c>
    </row>
    <row r="28" spans="1:4">
      <c r="A28" s="7" t="s">
        <v>39</v>
      </c>
      <c r="B28" s="18"/>
      <c r="C28" s="52" t="e">
        <f>C24+C25+C26+C27</f>
        <v>#VALUE!</v>
      </c>
      <c r="D28" s="47" t="e">
        <f>D13+D20+D27</f>
        <v>#VALUE!</v>
      </c>
    </row>
    <row r="29" spans="1:4">
      <c r="A29" s="53"/>
      <c r="B29" s="53"/>
      <c r="C29" s="50" t="e">
        <f>C23-C28</f>
        <v>#VALUE!</v>
      </c>
      <c r="D29" s="49" t="s">
        <v>78</v>
      </c>
    </row>
    <row r="30" spans="1:4">
      <c r="A30" s="19" t="s">
        <v>79</v>
      </c>
      <c r="B30" s="51"/>
      <c r="C30" s="51"/>
      <c r="D30" s="47" t="e">
        <f>D28+D29</f>
        <v>#VALUE!</v>
      </c>
    </row>
    <row r="31" spans="1:4">
      <c r="A31" s="54" t="s">
        <v>80</v>
      </c>
      <c r="B31" s="47" t="s">
        <v>81</v>
      </c>
      <c r="C31" s="47" t="s">
        <v>82</v>
      </c>
      <c r="D31" s="55"/>
    </row>
    <row r="32" spans="1:4">
      <c r="A32" s="54" t="s">
        <v>83</v>
      </c>
      <c r="B32" s="47" t="s">
        <v>84</v>
      </c>
      <c r="C32" s="47" t="s">
        <v>85</v>
      </c>
    </row>
    <row r="33" spans="1:4">
      <c r="A33" s="54" t="s">
        <v>86</v>
      </c>
      <c r="B33" s="49" t="s">
        <v>87</v>
      </c>
      <c r="C33" s="49" t="s">
        <v>88</v>
      </c>
    </row>
    <row r="34" spans="1:4">
      <c r="A34" s="56" t="s">
        <v>89</v>
      </c>
      <c r="B34" s="50" t="e">
        <f>B31+B32+B33</f>
        <v>#VALUE!</v>
      </c>
      <c r="C34" s="50" t="e">
        <f>C31+C32+C33</f>
        <v>#VALUE!</v>
      </c>
    </row>
    <row r="35" spans="1:4">
      <c r="A35" s="54" t="s">
        <v>90</v>
      </c>
      <c r="B35" s="51" t="s">
        <v>91</v>
      </c>
      <c r="C35" s="51" t="s">
        <v>92</v>
      </c>
    </row>
    <row r="36" spans="1:4">
      <c r="A36" s="54" t="s">
        <v>93</v>
      </c>
      <c r="B36" s="47" t="s">
        <v>94</v>
      </c>
      <c r="C36" s="47" t="s">
        <v>95</v>
      </c>
    </row>
    <row r="37" spans="1:4">
      <c r="A37" s="54" t="s">
        <v>96</v>
      </c>
      <c r="B37" s="49" t="s">
        <v>97</v>
      </c>
      <c r="C37" s="49" t="s">
        <v>98</v>
      </c>
    </row>
    <row r="38" spans="1:4">
      <c r="A38" s="56" t="s">
        <v>99</v>
      </c>
      <c r="B38" s="52" t="e">
        <f>B35+B36+B37</f>
        <v>#VALUE!</v>
      </c>
      <c r="C38" s="52" t="e">
        <f>C35+C36+C37</f>
        <v>#VALUE!</v>
      </c>
    </row>
    <row r="39" spans="1:4">
      <c r="A39" s="56" t="s">
        <v>100</v>
      </c>
      <c r="B39" s="50" t="e">
        <f>B34-B38</f>
        <v>#VALUE!</v>
      </c>
      <c r="C39" s="50" t="e">
        <f>C34-C38</f>
        <v>#VALUE!</v>
      </c>
      <c r="D39" s="55"/>
    </row>
    <row r="40" spans="1:4">
      <c r="A40" s="19" t="s">
        <v>101</v>
      </c>
      <c r="B40" s="57" t="s">
        <v>102</v>
      </c>
      <c r="C40" s="57" t="s">
        <v>103</v>
      </c>
      <c r="D40" s="55"/>
    </row>
    <row r="41" spans="1:4">
      <c r="A41" s="56" t="s">
        <v>104</v>
      </c>
      <c r="B41" s="50" t="e">
        <f>B17+B29+B39+B40</f>
        <v>#VALUE!</v>
      </c>
      <c r="C41" s="50" t="e">
        <f>C17+C29+C39+C40</f>
        <v>#VALUE!</v>
      </c>
      <c r="D41" s="55"/>
    </row>
    <row r="42" spans="1:4">
      <c r="A42" s="16"/>
      <c r="B42" s="17"/>
      <c r="C42" s="55"/>
    </row>
    <row r="43" spans="1:4">
      <c r="A43" s="7" t="s">
        <v>39</v>
      </c>
      <c r="B43" s="18"/>
    </row>
    <row r="45" spans="1:4">
      <c r="A45" s="58" t="s">
        <v>105</v>
      </c>
      <c r="B45" s="31">
        <f t="shared" ref="B45:B71" si="0">B44+1</f>
        <v>1</v>
      </c>
      <c r="C45" s="15"/>
    </row>
    <row r="46" spans="1:4">
      <c r="A46" s="21" t="s">
        <v>106</v>
      </c>
      <c r="B46" s="31">
        <f t="shared" si="0"/>
        <v>2</v>
      </c>
      <c r="C46" s="15" t="s">
        <v>107</v>
      </c>
    </row>
    <row r="47" spans="1:4">
      <c r="A47" s="21" t="s">
        <v>108</v>
      </c>
      <c r="B47" s="31">
        <f t="shared" si="0"/>
        <v>3</v>
      </c>
      <c r="C47" s="15" t="s">
        <v>109</v>
      </c>
    </row>
    <row r="48" spans="1:4">
      <c r="A48" s="21" t="s">
        <v>110</v>
      </c>
      <c r="B48" s="31">
        <f t="shared" si="0"/>
        <v>4</v>
      </c>
      <c r="C48" s="15" t="s">
        <v>111</v>
      </c>
    </row>
    <row r="49" spans="1:3">
      <c r="A49" s="21" t="s">
        <v>112</v>
      </c>
      <c r="B49" s="31">
        <f t="shared" si="0"/>
        <v>5</v>
      </c>
      <c r="C49" s="15"/>
    </row>
    <row r="50" spans="1:3">
      <c r="A50" s="21" t="s">
        <v>113</v>
      </c>
      <c r="B50" s="31">
        <f t="shared" si="0"/>
        <v>6</v>
      </c>
      <c r="C50" s="15"/>
    </row>
    <row r="51" spans="1:3">
      <c r="A51" s="21" t="s">
        <v>114</v>
      </c>
      <c r="B51" s="31">
        <f t="shared" si="0"/>
        <v>7</v>
      </c>
      <c r="C51" s="15"/>
    </row>
    <row r="52" spans="1:3">
      <c r="A52" s="21" t="s">
        <v>115</v>
      </c>
      <c r="B52" s="31">
        <f t="shared" si="0"/>
        <v>8</v>
      </c>
      <c r="C52" s="15"/>
    </row>
    <row r="53" spans="1:3">
      <c r="A53" s="21" t="s">
        <v>116</v>
      </c>
      <c r="B53" s="31">
        <f t="shared" si="0"/>
        <v>9</v>
      </c>
      <c r="C53" s="24" t="s">
        <v>117</v>
      </c>
    </row>
    <row r="54" spans="1:3">
      <c r="A54" s="21" t="s">
        <v>118</v>
      </c>
      <c r="B54" s="31">
        <f t="shared" si="0"/>
        <v>10</v>
      </c>
      <c r="C54" s="33" t="s">
        <v>119</v>
      </c>
    </row>
    <row r="55" spans="1:3">
      <c r="A55" s="21" t="s">
        <v>120</v>
      </c>
      <c r="B55" s="31">
        <f t="shared" si="0"/>
        <v>11</v>
      </c>
      <c r="C55" s="34"/>
    </row>
    <row r="56" spans="1:3">
      <c r="A56" s="21" t="s">
        <v>121</v>
      </c>
      <c r="B56" s="31">
        <f t="shared" si="0"/>
        <v>12</v>
      </c>
      <c r="C56" s="34"/>
    </row>
    <row r="57" spans="1:3">
      <c r="A57" s="21" t="s">
        <v>122</v>
      </c>
      <c r="B57" s="31">
        <f t="shared" si="0"/>
        <v>13</v>
      </c>
      <c r="C57" s="15" t="s">
        <v>123</v>
      </c>
    </row>
    <row r="58" spans="1:3">
      <c r="A58" s="21" t="s">
        <v>124</v>
      </c>
      <c r="B58" s="31">
        <f t="shared" si="0"/>
        <v>14</v>
      </c>
      <c r="C58" s="15" t="s">
        <v>125</v>
      </c>
    </row>
    <row r="59" spans="1:3">
      <c r="A59" s="35" t="s">
        <v>126</v>
      </c>
      <c r="B59" s="31">
        <f t="shared" si="0"/>
        <v>15</v>
      </c>
      <c r="C59" s="15" t="s">
        <v>127</v>
      </c>
    </row>
    <row r="60" spans="1:3">
      <c r="A60" s="35" t="s">
        <v>128</v>
      </c>
      <c r="B60" s="31">
        <f t="shared" si="0"/>
        <v>16</v>
      </c>
      <c r="C60" s="15" t="e">
        <f>C13-SUM(C44:C59)</f>
        <v>#VALUE!</v>
      </c>
    </row>
    <row r="61" spans="1:3">
      <c r="A61" s="23" t="s">
        <v>129</v>
      </c>
      <c r="B61" s="31">
        <f t="shared" si="0"/>
        <v>17</v>
      </c>
      <c r="C61" s="15" t="e">
        <f>SUM(C44:C60)</f>
        <v>#VALUE!</v>
      </c>
    </row>
    <row r="62" spans="1:3">
      <c r="A62" s="36" t="s">
        <v>130</v>
      </c>
      <c r="B62" s="31">
        <f t="shared" si="0"/>
        <v>18</v>
      </c>
      <c r="C62" s="15"/>
    </row>
    <row r="63" spans="1:3">
      <c r="A63" s="21" t="s">
        <v>131</v>
      </c>
      <c r="B63" s="31">
        <f t="shared" si="0"/>
        <v>19</v>
      </c>
      <c r="C63" s="15"/>
    </row>
    <row r="64" spans="1:3">
      <c r="A64" s="21" t="s">
        <v>132</v>
      </c>
      <c r="B64" s="31">
        <f t="shared" si="0"/>
        <v>20</v>
      </c>
      <c r="C64" s="15"/>
    </row>
    <row r="65" spans="1:3">
      <c r="A65" s="21" t="s">
        <v>133</v>
      </c>
      <c r="B65" s="31">
        <f t="shared" si="0"/>
        <v>21</v>
      </c>
      <c r="C65" s="15"/>
    </row>
    <row r="66" spans="1:3">
      <c r="A66" s="36" t="s">
        <v>134</v>
      </c>
      <c r="B66" s="31">
        <f t="shared" si="0"/>
        <v>22</v>
      </c>
      <c r="C66" s="15"/>
    </row>
    <row r="67" spans="1:3">
      <c r="A67" s="21" t="s">
        <v>135</v>
      </c>
      <c r="B67" s="31">
        <f t="shared" si="0"/>
        <v>23</v>
      </c>
      <c r="C67" s="15" t="s">
        <v>136</v>
      </c>
    </row>
    <row r="68" spans="1:3">
      <c r="A68" s="21" t="s">
        <v>137</v>
      </c>
      <c r="B68" s="31">
        <f t="shared" si="0"/>
        <v>24</v>
      </c>
      <c r="C68" s="15" t="s">
        <v>138</v>
      </c>
    </row>
    <row r="69" spans="1:3">
      <c r="A69" s="21" t="s">
        <v>139</v>
      </c>
      <c r="B69" s="31">
        <f t="shared" si="0"/>
        <v>25</v>
      </c>
      <c r="C69" s="15">
        <v>0</v>
      </c>
    </row>
    <row r="70" spans="1:3">
      <c r="A70" s="35" t="s">
        <v>140</v>
      </c>
      <c r="B70" s="31">
        <f t="shared" si="0"/>
        <v>26</v>
      </c>
      <c r="C70" s="15">
        <v>0</v>
      </c>
    </row>
    <row r="71" spans="1:3">
      <c r="A71" s="23" t="s">
        <v>141</v>
      </c>
      <c r="B71" s="31">
        <f t="shared" si="0"/>
        <v>27</v>
      </c>
      <c r="C71" s="15" t="e">
        <f>C67-C68+C69-C70</f>
        <v>#VALUE!</v>
      </c>
    </row>
    <row r="72" spans="1:3">
      <c r="A72" s="37" t="s">
        <v>40</v>
      </c>
      <c r="B72" s="38"/>
      <c r="C72" s="39"/>
    </row>
    <row r="73" spans="1:3">
      <c r="A73" s="35" t="s">
        <v>140</v>
      </c>
      <c r="B73" s="31">
        <f>B72+1</f>
        <v>1</v>
      </c>
      <c r="C73" s="15">
        <v>0</v>
      </c>
    </row>
    <row r="74" spans="1:3">
      <c r="A74" s="23" t="s">
        <v>141</v>
      </c>
      <c r="B74" s="31">
        <f>B73+1</f>
        <v>2</v>
      </c>
      <c r="C74" s="15" t="e">
        <f>C70-C71+C72-C73</f>
        <v>#VALUE!</v>
      </c>
    </row>
    <row r="75" spans="1:3">
      <c r="A75" s="37" t="s">
        <v>40</v>
      </c>
      <c r="B75" s="38"/>
      <c r="C75" s="39"/>
    </row>
    <row r="79" spans="1:3">
      <c r="A79" s="38"/>
      <c r="B79" s="38"/>
      <c r="C79" s="39"/>
    </row>
    <row r="80" spans="1:3">
      <c r="A80" s="38"/>
      <c r="B80" s="38"/>
      <c r="C80" s="39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5"/>
  <sheetViews>
    <sheetView zoomScaleSheetLayoutView="60" workbookViewId="0">
      <selection activeCell="A1" sqref="A1:B29"/>
    </sheetView>
  </sheetViews>
  <sheetFormatPr defaultColWidth="9.14814814814815" defaultRowHeight="15" outlineLevelCol="2"/>
  <cols>
    <col min="1" max="16384" width="9.14814814814815" customWidth="1"/>
  </cols>
  <sheetData>
    <row r="2" spans="1:3">
      <c r="A2" s="1" t="s">
        <v>142</v>
      </c>
      <c r="B2" s="2"/>
      <c r="C2" s="3"/>
    </row>
    <row r="3" ht="27" spans="1:3">
      <c r="A3" s="4"/>
      <c r="B3" s="5"/>
      <c r="C3" s="6" t="s">
        <v>143</v>
      </c>
    </row>
    <row r="4" spans="1:3">
      <c r="A4" s="7" t="s">
        <v>144</v>
      </c>
      <c r="B4" s="8" t="s">
        <v>145</v>
      </c>
      <c r="C4" s="9" t="s">
        <v>146</v>
      </c>
    </row>
    <row r="5" spans="1:3">
      <c r="A5" s="10" t="s">
        <v>3</v>
      </c>
      <c r="B5" s="11" t="s">
        <v>4</v>
      </c>
      <c r="C5" s="12" t="s">
        <v>147</v>
      </c>
    </row>
    <row r="6" spans="1:3">
      <c r="A6" s="13" t="s">
        <v>5</v>
      </c>
      <c r="B6" s="14">
        <v>0</v>
      </c>
      <c r="C6" s="15">
        <v>0</v>
      </c>
    </row>
    <row r="7" spans="1:3">
      <c r="A7" s="13" t="s">
        <v>6</v>
      </c>
      <c r="B7" s="14" t="s">
        <v>7</v>
      </c>
      <c r="C7" s="15">
        <f>0</f>
        <v>0</v>
      </c>
    </row>
    <row r="8" spans="1:3">
      <c r="A8" s="13" t="s">
        <v>8</v>
      </c>
      <c r="B8" s="14"/>
      <c r="C8" s="15">
        <f>0</f>
        <v>0</v>
      </c>
    </row>
    <row r="9" spans="1:3">
      <c r="A9" s="13" t="s">
        <v>9</v>
      </c>
      <c r="B9" s="14"/>
      <c r="C9" s="15">
        <f>0</f>
        <v>0</v>
      </c>
    </row>
    <row r="10" spans="1:3">
      <c r="A10" s="13" t="s">
        <v>10</v>
      </c>
      <c r="B10" s="14">
        <f>0</f>
        <v>0</v>
      </c>
      <c r="C10" s="15">
        <f>SUM(C7:C9)</f>
        <v>0</v>
      </c>
    </row>
    <row r="11" spans="1:3">
      <c r="A11" s="13" t="s">
        <v>12</v>
      </c>
      <c r="B11" s="14">
        <f>0</f>
        <v>0</v>
      </c>
      <c r="C11" s="15">
        <f>0</f>
        <v>0</v>
      </c>
    </row>
    <row r="12" spans="1:3">
      <c r="A12" s="13" t="s">
        <v>14</v>
      </c>
      <c r="B12" s="14"/>
      <c r="C12" s="15">
        <f>0</f>
        <v>0</v>
      </c>
    </row>
    <row r="13" spans="1:3">
      <c r="A13" s="13" t="s">
        <v>15</v>
      </c>
      <c r="B13" s="14">
        <f>0</f>
        <v>0</v>
      </c>
      <c r="C13" s="15">
        <f>0</f>
        <v>0</v>
      </c>
    </row>
    <row r="14" spans="1:3">
      <c r="A14" s="13" t="s">
        <v>17</v>
      </c>
      <c r="B14" s="14">
        <f>0</f>
        <v>0</v>
      </c>
      <c r="C14" s="15">
        <f>0</f>
        <v>0</v>
      </c>
    </row>
    <row r="15" spans="1:3">
      <c r="A15" s="13" t="s">
        <v>19</v>
      </c>
      <c r="B15" s="14">
        <f>0</f>
        <v>0</v>
      </c>
      <c r="C15" s="15">
        <f>SUM(C11:C14)</f>
        <v>0</v>
      </c>
    </row>
    <row r="16" spans="1:3">
      <c r="A16" s="13" t="s">
        <v>21</v>
      </c>
      <c r="B16" s="14">
        <f>0</f>
        <v>0</v>
      </c>
      <c r="C16" s="15">
        <f>C10-C15</f>
        <v>0</v>
      </c>
    </row>
    <row r="17" spans="1:3">
      <c r="A17" s="13" t="s">
        <v>23</v>
      </c>
      <c r="B17" s="14"/>
      <c r="C17" s="15"/>
    </row>
    <row r="18" spans="1:3">
      <c r="A18" s="13" t="s">
        <v>24</v>
      </c>
      <c r="B18" s="14">
        <f>0</f>
        <v>0</v>
      </c>
      <c r="C18" s="15">
        <f>0</f>
        <v>0</v>
      </c>
    </row>
    <row r="19" spans="1:3">
      <c r="A19" s="13" t="s">
        <v>26</v>
      </c>
      <c r="B19" s="14">
        <f>0</f>
        <v>0</v>
      </c>
      <c r="C19" s="15">
        <f>0</f>
        <v>0</v>
      </c>
    </row>
    <row r="20" spans="1:3">
      <c r="A20" s="13" t="s">
        <v>28</v>
      </c>
      <c r="B20" s="14"/>
      <c r="C20" s="15">
        <f>0</f>
        <v>0</v>
      </c>
    </row>
    <row r="21" spans="1:3">
      <c r="A21" s="13" t="s">
        <v>29</v>
      </c>
      <c r="B21" s="14">
        <f>0</f>
        <v>0</v>
      </c>
      <c r="C21" s="15">
        <f>0</f>
        <v>0</v>
      </c>
    </row>
    <row r="22" spans="1:3">
      <c r="A22" s="13" t="s">
        <v>31</v>
      </c>
      <c r="B22" s="14">
        <f>0</f>
        <v>0</v>
      </c>
      <c r="C22" s="15">
        <f>0</f>
        <v>0</v>
      </c>
    </row>
    <row r="23" spans="1:3">
      <c r="A23" s="13" t="s">
        <v>33</v>
      </c>
      <c r="B23" s="14">
        <f>0</f>
        <v>0</v>
      </c>
      <c r="C23" s="15">
        <f>SUM(C18:C22)</f>
        <v>0</v>
      </c>
    </row>
    <row r="24" spans="1:3">
      <c r="A24" s="13" t="s">
        <v>35</v>
      </c>
      <c r="B24" s="14">
        <f>0</f>
        <v>0</v>
      </c>
      <c r="C24" s="15">
        <f>0</f>
        <v>0</v>
      </c>
    </row>
    <row r="25" spans="1:3">
      <c r="A25" s="13" t="s">
        <v>36</v>
      </c>
      <c r="B25" s="14">
        <f>0</f>
        <v>0</v>
      </c>
      <c r="C25" s="15">
        <f>0</f>
        <v>0</v>
      </c>
    </row>
    <row r="26" spans="1:3">
      <c r="A26" s="13" t="s">
        <v>38</v>
      </c>
      <c r="B26" s="14"/>
      <c r="C26" s="15">
        <f>0</f>
        <v>0</v>
      </c>
    </row>
    <row r="27" spans="1:3">
      <c r="A27" s="16"/>
      <c r="B27" s="17"/>
      <c r="C27" s="15">
        <f>0</f>
        <v>0</v>
      </c>
    </row>
    <row r="28" spans="1:3">
      <c r="A28" s="7" t="s">
        <v>39</v>
      </c>
      <c r="B28" s="18"/>
      <c r="C28" s="15">
        <f>SUM(C24:C27)</f>
        <v>0</v>
      </c>
    </row>
    <row r="29" spans="1:3">
      <c r="C29" s="15">
        <f>C23-C28</f>
        <v>0</v>
      </c>
    </row>
    <row r="30" spans="1:3">
      <c r="A30" s="19" t="s">
        <v>79</v>
      </c>
      <c r="B30" s="20">
        <f t="shared" ref="B30:B43" si="0">B29+1</f>
        <v>1</v>
      </c>
      <c r="C30" s="15"/>
    </row>
    <row r="31" spans="1:3">
      <c r="A31" s="21" t="s">
        <v>148</v>
      </c>
      <c r="B31" s="20">
        <f t="shared" si="0"/>
        <v>2</v>
      </c>
      <c r="C31" s="15">
        <f>0</f>
        <v>0</v>
      </c>
    </row>
    <row r="32" spans="1:3">
      <c r="A32" s="21" t="s">
        <v>149</v>
      </c>
      <c r="B32" s="20">
        <f t="shared" si="0"/>
        <v>3</v>
      </c>
      <c r="C32" s="15">
        <f>0</f>
        <v>0</v>
      </c>
    </row>
    <row r="33" spans="1:3">
      <c r="A33" s="21" t="s">
        <v>86</v>
      </c>
      <c r="B33" s="20">
        <f t="shared" si="0"/>
        <v>4</v>
      </c>
      <c r="C33" s="15">
        <f>0</f>
        <v>0</v>
      </c>
    </row>
    <row r="34" spans="1:3">
      <c r="A34" s="22" t="s">
        <v>150</v>
      </c>
      <c r="B34" s="20">
        <f t="shared" si="0"/>
        <v>5</v>
      </c>
      <c r="C34" s="15">
        <f>SUM(C31:C33)</f>
        <v>0</v>
      </c>
    </row>
    <row r="35" spans="1:3">
      <c r="A35" s="21" t="s">
        <v>151</v>
      </c>
      <c r="B35" s="20">
        <f t="shared" si="0"/>
        <v>6</v>
      </c>
      <c r="C35" s="15">
        <f>0</f>
        <v>0</v>
      </c>
    </row>
    <row r="36" spans="1:3">
      <c r="A36" s="21" t="s">
        <v>152</v>
      </c>
      <c r="B36" s="20">
        <f t="shared" si="0"/>
        <v>7</v>
      </c>
      <c r="C36" s="15">
        <f>0</f>
        <v>0</v>
      </c>
    </row>
    <row r="37" spans="1:3">
      <c r="A37" s="21" t="s">
        <v>96</v>
      </c>
      <c r="B37" s="20">
        <f t="shared" si="0"/>
        <v>8</v>
      </c>
      <c r="C37" s="15">
        <f>0</f>
        <v>0</v>
      </c>
    </row>
    <row r="38" spans="1:3">
      <c r="A38" s="22" t="s">
        <v>153</v>
      </c>
      <c r="B38" s="20">
        <f t="shared" si="0"/>
        <v>9</v>
      </c>
      <c r="C38" s="15">
        <f>SUM(C35:C37)</f>
        <v>0</v>
      </c>
    </row>
    <row r="39" spans="1:3">
      <c r="A39" s="23" t="s">
        <v>154</v>
      </c>
      <c r="B39" s="20">
        <f t="shared" si="0"/>
        <v>10</v>
      </c>
      <c r="C39" s="15">
        <f>C34-C38</f>
        <v>0</v>
      </c>
    </row>
    <row r="40" spans="1:3">
      <c r="A40" s="23" t="s">
        <v>155</v>
      </c>
      <c r="B40" s="20">
        <f t="shared" si="0"/>
        <v>11</v>
      </c>
      <c r="C40" s="15">
        <f>0</f>
        <v>0</v>
      </c>
    </row>
    <row r="41" spans="1:3">
      <c r="A41" s="23" t="s">
        <v>156</v>
      </c>
      <c r="B41" s="20">
        <f t="shared" si="0"/>
        <v>12</v>
      </c>
      <c r="C41" s="15">
        <f>C16+C29+C39+C40</f>
        <v>0</v>
      </c>
    </row>
    <row r="42" spans="1:3">
      <c r="A42" s="23" t="s">
        <v>157</v>
      </c>
      <c r="B42" s="20">
        <f t="shared" si="0"/>
        <v>13</v>
      </c>
      <c r="C42" s="24">
        <f>0</f>
        <v>0</v>
      </c>
    </row>
    <row r="43" spans="1:3">
      <c r="A43" s="25" t="s">
        <v>158</v>
      </c>
      <c r="B43" s="20">
        <f t="shared" si="0"/>
        <v>14</v>
      </c>
      <c r="C43" s="15">
        <f>0</f>
        <v>0</v>
      </c>
    </row>
    <row r="44" spans="1:3">
      <c r="A44" s="26"/>
      <c r="B44" s="26"/>
      <c r="C44" s="27"/>
    </row>
    <row r="45" spans="1:3">
      <c r="A45" s="28" t="s">
        <v>159</v>
      </c>
      <c r="B45" s="29" t="s">
        <v>160</v>
      </c>
      <c r="C45" s="12" t="s">
        <v>4</v>
      </c>
    </row>
    <row r="46" spans="1:3">
      <c r="A46" s="30" t="s">
        <v>161</v>
      </c>
      <c r="B46" s="31">
        <f>B43+1</f>
        <v>15</v>
      </c>
      <c r="C46" s="15"/>
    </row>
    <row r="47" spans="1:3">
      <c r="A47" s="32" t="s">
        <v>162</v>
      </c>
      <c r="B47" s="31">
        <f t="shared" ref="B47:B74" si="1">B46+1</f>
        <v>16</v>
      </c>
      <c r="C47" s="15">
        <f>292967.56</f>
        <v>292967.56</v>
      </c>
    </row>
    <row r="48" spans="1:3">
      <c r="A48" s="21" t="s">
        <v>163</v>
      </c>
      <c r="B48" s="31">
        <f t="shared" si="1"/>
        <v>17</v>
      </c>
      <c r="C48" s="15">
        <f>0</f>
        <v>0</v>
      </c>
    </row>
    <row r="49" spans="1:3">
      <c r="A49" s="21" t="s">
        <v>164</v>
      </c>
      <c r="B49" s="31">
        <f t="shared" si="1"/>
        <v>18</v>
      </c>
      <c r="C49" s="15">
        <f>0</f>
        <v>0</v>
      </c>
    </row>
    <row r="50" spans="1:3">
      <c r="A50" s="21" t="s">
        <v>108</v>
      </c>
      <c r="B50" s="31">
        <f t="shared" si="1"/>
        <v>19</v>
      </c>
      <c r="C50" s="15">
        <f>0</f>
        <v>0</v>
      </c>
    </row>
    <row r="51" spans="1:3">
      <c r="A51" s="21" t="s">
        <v>110</v>
      </c>
      <c r="B51" s="31">
        <f t="shared" si="1"/>
        <v>20</v>
      </c>
      <c r="C51" s="15">
        <f>0</f>
        <v>0</v>
      </c>
    </row>
    <row r="52" spans="1:3">
      <c r="A52" s="21" t="s">
        <v>112</v>
      </c>
      <c r="B52" s="31">
        <f t="shared" si="1"/>
        <v>21</v>
      </c>
      <c r="C52" s="15"/>
    </row>
    <row r="53" spans="1:3">
      <c r="A53" s="21" t="s">
        <v>113</v>
      </c>
      <c r="B53" s="31">
        <f t="shared" si="1"/>
        <v>22</v>
      </c>
      <c r="C53" s="15"/>
    </row>
    <row r="54" spans="1:3">
      <c r="A54" s="21" t="s">
        <v>114</v>
      </c>
      <c r="B54" s="31">
        <f t="shared" si="1"/>
        <v>23</v>
      </c>
      <c r="C54" s="15"/>
    </row>
    <row r="55" spans="1:3">
      <c r="A55" s="21" t="s">
        <v>115</v>
      </c>
      <c r="B55" s="31">
        <f t="shared" si="1"/>
        <v>24</v>
      </c>
      <c r="C55" s="15"/>
    </row>
    <row r="56" spans="1:3">
      <c r="A56" s="21" t="s">
        <v>116</v>
      </c>
      <c r="B56" s="31">
        <f t="shared" si="1"/>
        <v>25</v>
      </c>
      <c r="C56" s="24">
        <f>150</f>
        <v>150</v>
      </c>
    </row>
    <row r="57" spans="1:3">
      <c r="A57" s="21" t="s">
        <v>118</v>
      </c>
      <c r="B57" s="31">
        <f t="shared" si="1"/>
        <v>26</v>
      </c>
      <c r="C57" s="33">
        <f>0</f>
        <v>0</v>
      </c>
    </row>
    <row r="58" spans="1:3">
      <c r="A58" s="21" t="s">
        <v>165</v>
      </c>
      <c r="B58" s="31">
        <f t="shared" si="1"/>
        <v>27</v>
      </c>
      <c r="C58" s="34">
        <f>0</f>
        <v>0</v>
      </c>
    </row>
    <row r="59" spans="1:3">
      <c r="A59" s="21" t="s">
        <v>166</v>
      </c>
      <c r="B59" s="31">
        <f t="shared" si="1"/>
        <v>28</v>
      </c>
      <c r="C59" s="34"/>
    </row>
    <row r="60" spans="1:3">
      <c r="A60" s="21" t="s">
        <v>122</v>
      </c>
      <c r="B60" s="31">
        <f t="shared" si="1"/>
        <v>29</v>
      </c>
      <c r="C60" s="15">
        <f>0</f>
        <v>0</v>
      </c>
    </row>
    <row r="61" spans="1:3">
      <c r="A61" s="21" t="s">
        <v>124</v>
      </c>
      <c r="B61" s="31">
        <f t="shared" si="1"/>
        <v>30</v>
      </c>
      <c r="C61" s="15">
        <f>0</f>
        <v>0</v>
      </c>
    </row>
    <row r="62" spans="1:3">
      <c r="A62" s="35" t="s">
        <v>126</v>
      </c>
      <c r="B62" s="31">
        <f t="shared" si="1"/>
        <v>31</v>
      </c>
      <c r="C62" s="15">
        <f>0</f>
        <v>0</v>
      </c>
    </row>
    <row r="63" spans="1:3">
      <c r="A63" s="35" t="s">
        <v>128</v>
      </c>
      <c r="B63" s="31">
        <f t="shared" si="1"/>
        <v>32</v>
      </c>
      <c r="C63" s="15">
        <f>C16-C47-C48-C49-C50-C52-C51-C53-C54-C55-C56-C57-C58-C60-C61-C62</f>
        <v>-293117.56</v>
      </c>
    </row>
    <row r="64" spans="1:3">
      <c r="A64" s="23" t="s">
        <v>129</v>
      </c>
      <c r="B64" s="31">
        <f t="shared" si="1"/>
        <v>33</v>
      </c>
      <c r="C64" s="15">
        <f>C47+C48+C49+C50+C51+C52+C53+C54+C55+C56+C57+C58+C60+C61+C62+C63</f>
        <v>0</v>
      </c>
    </row>
    <row r="65" spans="1:3">
      <c r="A65" s="36" t="s">
        <v>130</v>
      </c>
      <c r="B65" s="31">
        <f t="shared" si="1"/>
        <v>34</v>
      </c>
      <c r="C65" s="15"/>
    </row>
    <row r="66" spans="1:3">
      <c r="A66" s="21" t="s">
        <v>131</v>
      </c>
      <c r="B66" s="31">
        <f t="shared" si="1"/>
        <v>35</v>
      </c>
      <c r="C66" s="15"/>
    </row>
    <row r="67" spans="1:3">
      <c r="A67" s="21" t="s">
        <v>132</v>
      </c>
      <c r="B67" s="31">
        <f t="shared" si="1"/>
        <v>36</v>
      </c>
      <c r="C67" s="15"/>
    </row>
    <row r="68" spans="1:3">
      <c r="A68" s="21" t="s">
        <v>133</v>
      </c>
      <c r="B68" s="31">
        <f t="shared" si="1"/>
        <v>37</v>
      </c>
      <c r="C68" s="15"/>
    </row>
    <row r="69" spans="1:3">
      <c r="A69" s="36" t="s">
        <v>134</v>
      </c>
      <c r="B69" s="31">
        <f t="shared" si="1"/>
        <v>38</v>
      </c>
      <c r="C69" s="15"/>
    </row>
    <row r="70" spans="1:3">
      <c r="A70" s="21" t="s">
        <v>135</v>
      </c>
      <c r="B70" s="31">
        <f t="shared" si="1"/>
        <v>39</v>
      </c>
      <c r="C70" s="15">
        <f>0</f>
        <v>0</v>
      </c>
    </row>
    <row r="71" spans="1:3">
      <c r="A71" s="21" t="s">
        <v>137</v>
      </c>
      <c r="B71" s="31">
        <f t="shared" si="1"/>
        <v>40</v>
      </c>
      <c r="C71" s="15">
        <f>0</f>
        <v>0</v>
      </c>
    </row>
    <row r="72" spans="1:3">
      <c r="A72" s="21" t="s">
        <v>139</v>
      </c>
      <c r="B72" s="31">
        <f t="shared" si="1"/>
        <v>41</v>
      </c>
      <c r="C72" s="15">
        <f>0</f>
        <v>0</v>
      </c>
    </row>
    <row r="73" spans="1:3">
      <c r="A73" s="35" t="s">
        <v>140</v>
      </c>
      <c r="B73" s="31">
        <f t="shared" si="1"/>
        <v>42</v>
      </c>
      <c r="C73" s="15">
        <f>0</f>
        <v>0</v>
      </c>
    </row>
    <row r="74" spans="1:3">
      <c r="A74" s="23" t="s">
        <v>141</v>
      </c>
      <c r="B74" s="31">
        <f t="shared" si="1"/>
        <v>43</v>
      </c>
      <c r="C74" s="15">
        <f>C70-C71+C72-C73</f>
        <v>0</v>
      </c>
    </row>
    <row r="75" spans="1:3">
      <c r="A75" s="37" t="s">
        <v>40</v>
      </c>
      <c r="B75" s="38"/>
      <c r="C75" s="39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现金流量表(定义)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2026-05-19T09:26:27Z</dcterms:created>
  <dcterms:modified xsi:type="dcterms:W3CDTF">2026-05-19T09:26:39Z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84E398BE1DB54B7F9049E7A41F44E41C_13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