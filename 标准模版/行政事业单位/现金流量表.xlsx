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现金流量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<sst xmlns="http://schemas.openxmlformats.org/spreadsheetml/2006/main" count="322" uniqueCount="192">
  <si>
    <t>现 金 流 量 表</t>
  </si>
  <si>
    <t xml:space="preserve">        会政财04表</t>
  </si>
  <si>
    <t xml:space="preserve">纳税人名称：%U      </t>
  </si>
  <si>
    <t>%YH%MH</t>
  </si>
  <si>
    <t xml:space="preserve">          单位：元   </t>
  </si>
  <si>
    <t>项         目</t>
  </si>
  <si>
    <t>本年金额</t>
  </si>
  <si>
    <t>上年金额</t>
  </si>
  <si>
    <t>一、日常活动产生的现金流量：</t>
  </si>
  <si>
    <t xml:space="preserve">    财政基本支出拨款收到的现金</t>
  </si>
  <si>
    <t>@xj_je(1101,1,99)</t>
  </si>
  <si>
    <t>@xj_je(1101,101,199)</t>
  </si>
  <si>
    <t xml:space="preserve">    财政非资本性项目拨款收到的现金</t>
  </si>
  <si>
    <t>@xj_je(1102,1,99)</t>
  </si>
  <si>
    <t>@xj_je(1102,101,199)</t>
  </si>
  <si>
    <t xml:space="preserve">    事业活动收到的除财政拨款以外的现金</t>
  </si>
  <si>
    <t>@xj_je(1103,1,99)</t>
  </si>
  <si>
    <t>@xj_je(1103,101,199)</t>
  </si>
  <si>
    <t xml:space="preserve">    收到的其他与日常活动有关的现金</t>
  </si>
  <si>
    <t>@xj_je(1104,1,99)</t>
  </si>
  <si>
    <t>@xj_je(1104,101,199)</t>
  </si>
  <si>
    <t xml:space="preserve">　   　日常活动的现金流入小计</t>
  </si>
  <si>
    <t xml:space="preserve">    购买商品、接受劳务支付的现金</t>
  </si>
  <si>
    <t>@xj_je(1201,1,99)</t>
  </si>
  <si>
    <t>@xj_je(1201,101,199)</t>
  </si>
  <si>
    <t xml:space="preserve">    支付给职工以及为职工支付的现金</t>
  </si>
  <si>
    <t>@xj_je(1202,1,99)</t>
  </si>
  <si>
    <t>@xj_je(1202,101,199)</t>
  </si>
  <si>
    <t xml:space="preserve">    支付的各项税费</t>
  </si>
  <si>
    <t>@xj_je(1203,1,99)</t>
  </si>
  <si>
    <t>@xj_je(1203,101,199)</t>
  </si>
  <si>
    <t xml:space="preserve">    支付的其他与日常活动有关的现金</t>
  </si>
  <si>
    <t>@xj_je(1204,1,99)</t>
  </si>
  <si>
    <t>@xj_je(1204,101,199)</t>
  </si>
  <si>
    <t xml:space="preserve">　   　日常活动的现金流出小计</t>
  </si>
  <si>
    <t xml:space="preserve">　   　           日常活动产生的现金流量净额</t>
  </si>
  <si>
    <t>二、投资活动产生的现金流量：</t>
  </si>
  <si>
    <t xml:space="preserve">    收回投资收到的现金</t>
  </si>
  <si>
    <t>@xj_je(2101,1,99)</t>
  </si>
  <si>
    <t>@xj_je(2101,101,199)</t>
  </si>
  <si>
    <t xml:space="preserve">    取得投资收益收到的现金</t>
  </si>
  <si>
    <t>@xj_je(2102,1,99)</t>
  </si>
  <si>
    <t>@xj_je(2102,101,199)</t>
  </si>
  <si>
    <t xml:space="preserve">    处置固定资产、无形资产、公共基础设施等收回的现金净额</t>
  </si>
  <si>
    <t>@xj_je(2103,1,99)</t>
  </si>
  <si>
    <t>@xj_je(2103,101,199)</t>
  </si>
  <si>
    <t xml:space="preserve">    收到的其他与投资活动有关的现金</t>
  </si>
  <si>
    <t>@xj_je(2104,1,99)</t>
  </si>
  <si>
    <t>@xj_je(2104,101,199)</t>
  </si>
  <si>
    <t xml:space="preserve">       投资活动的现金流入小计</t>
  </si>
  <si>
    <t xml:space="preserve">    购建固定资产、无形资产、公共基础设施等支付的现金</t>
  </si>
  <si>
    <t>@xj_je(2201,1,99)</t>
  </si>
  <si>
    <t>@xj_je(2201,101,199)</t>
  </si>
  <si>
    <t xml:space="preserve">    对外投资支付的现金</t>
  </si>
  <si>
    <t>@xj_je(2202,1,99)</t>
  </si>
  <si>
    <t>@xj_je(2202,101,199)</t>
  </si>
  <si>
    <t xml:space="preserve">    上缴处置固定资产、无形资产、公共基础设施等净收入支付的现金</t>
  </si>
  <si>
    <t>@xj_je(2203,1,99)</t>
  </si>
  <si>
    <t>@xj_je(2203,101,199)</t>
  </si>
  <si>
    <t xml:space="preserve">    支付的其他与投资活动有关的现金</t>
  </si>
  <si>
    <t>@xj_je(2204,1,99)</t>
  </si>
  <si>
    <t>@xj_je(2204,101,199)</t>
  </si>
  <si>
    <t xml:space="preserve">       投资活动的现金流出小计</t>
  </si>
  <si>
    <t xml:space="preserve">　   　           投资活动产生的现金流量净额</t>
  </si>
  <si>
    <t>三、筹资活动产生的现金流量：</t>
  </si>
  <si>
    <t xml:space="preserve">    财政资本性项目拨款收到的现金</t>
  </si>
  <si>
    <t>@xj_je(3101,1,99)</t>
  </si>
  <si>
    <t>@xj_je(3101,101,199)</t>
  </si>
  <si>
    <t xml:space="preserve">    取得借款收到的现金</t>
  </si>
  <si>
    <t>@xj_je(3102,1,99)</t>
  </si>
  <si>
    <t>@xj_je(3102,101,199)</t>
  </si>
  <si>
    <t xml:space="preserve">    收到的其他与筹资活动有关的现金</t>
  </si>
  <si>
    <t>@xj_je(3103,1,99)</t>
  </si>
  <si>
    <t>@xj_je(3103,101,199)</t>
  </si>
  <si>
    <t xml:space="preserve">       筹资活动的现金流入小计</t>
  </si>
  <si>
    <t xml:space="preserve">    偿还借款支付的现金</t>
  </si>
  <si>
    <t>@xj_je(3201,1,99)</t>
  </si>
  <si>
    <t>@xj_je(3201,101,199)</t>
  </si>
  <si>
    <t xml:space="preserve">    偿还利息支付的现金</t>
  </si>
  <si>
    <t>@xj_je(3202,1,99)</t>
  </si>
  <si>
    <t>@xj_je(3202,101,199)</t>
  </si>
  <si>
    <t xml:space="preserve">    支付的其他与筹资活动有关的现金</t>
  </si>
  <si>
    <t>@xj_je(3203,1,99)</t>
  </si>
  <si>
    <t>@xj_je(3203,101,199)</t>
  </si>
  <si>
    <t xml:space="preserve">       筹资活动的现金流出小计</t>
  </si>
  <si>
    <t xml:space="preserve">　   　           筹资活动产生的现金流量净额</t>
  </si>
  <si>
    <t>四、汇率变动对现金的影响额</t>
  </si>
  <si>
    <t>@xj_je(4101,1,99)</t>
  </si>
  <si>
    <t>@xj_je(4101,101,199)</t>
  </si>
  <si>
    <t>五、现金净增加额</t>
  </si>
  <si>
    <t>单位负责人：         财务负责人：            审核：              制表：</t>
  </si>
  <si>
    <t>会政财04表</t>
  </si>
  <si>
    <t xml:space="preserve">单位：元   </t>
  </si>
  <si>
    <t>@xj_je(1101,99,99)</t>
  </si>
  <si>
    <t>@xj_je(1102,99,99)</t>
  </si>
  <si>
    <t>@xj_je(1201,99,99)</t>
  </si>
  <si>
    <t>@xj_je(1202,99,99)</t>
  </si>
  <si>
    <t>@xj_je(1203,99,99)</t>
  </si>
  <si>
    <t>@xj_je(1204,99,99)</t>
  </si>
  <si>
    <t>@xj_je(2101,99,99)</t>
  </si>
  <si>
    <t>@xj_je(2102,99,99)</t>
  </si>
  <si>
    <t>@xj_je(2103,99,99)</t>
  </si>
  <si>
    <t>@xj_je(2201,99,99)</t>
  </si>
  <si>
    <t>@xj_je(2202,99,99)</t>
  </si>
  <si>
    <t>@xj_je(3101,99,99)</t>
  </si>
  <si>
    <t>@xj_je(3102,99,99)</t>
  </si>
  <si>
    <t>@xj_je(3201,99,99)</t>
  </si>
  <si>
    <t>@xj_je(3202,99,99)</t>
  </si>
  <si>
    <t>@xj_je(3203,99,99)</t>
  </si>
  <si>
    <t>@ye(1001,98)+ye(1002,98)+ye(1012,98)</t>
  </si>
  <si>
    <t xml:space="preserve">   加：</t>
  </si>
  <si>
    <t xml:space="preserve">       固定资产折旧、生产性生物资产折旧</t>
  </si>
  <si>
    <t>@df(1602,1,99)+df(1622,1,99)</t>
  </si>
  <si>
    <t xml:space="preserve">       无形资产摊销</t>
  </si>
  <si>
    <t>@df(1702,1,99)</t>
  </si>
  <si>
    <t xml:space="preserve">       长期待摊费用摊销</t>
  </si>
  <si>
    <t>@df(1801,1,99)</t>
  </si>
  <si>
    <t xml:space="preserve">       待摊费用减少（减：增加）</t>
  </si>
  <si>
    <t xml:space="preserve">       预提费用增加（减：减少）</t>
  </si>
  <si>
    <t xml:space="preserve">       处置固定资产、无形资产和其他长期资产的损失（减：收益）</t>
  </si>
  <si>
    <t xml:space="preserve">       固定资产报废损失（收益以“－”号填列）</t>
  </si>
  <si>
    <t xml:space="preserve">       财务费用（收益以“－”号填列）</t>
  </si>
  <si>
    <t>@jqy(5603,1,99)</t>
  </si>
  <si>
    <t xml:space="preserve">       投资损失（收益以“－”号填列）</t>
  </si>
  <si>
    <t>@jqy(5111,1,99)</t>
  </si>
  <si>
    <t xml:space="preserve">      </t>
  </si>
  <si>
    <t xml:space="preserve"> </t>
  </si>
  <si>
    <t xml:space="preserve">       存货的减少（增加以“－”号填列）</t>
  </si>
  <si>
    <t>@nc(14)-ye(14,99)</t>
  </si>
  <si>
    <t xml:space="preserve">       经营性应收项目的减少（增加以“－”号填列）</t>
  </si>
  <si>
    <t>@nc(11)-ye(11,99)+nc(12)-ye(12,99)+nc(15)-ye(15,99)</t>
  </si>
  <si>
    <t xml:space="preserve">       经营性应付项目的增加（减少以“－”号填列）</t>
  </si>
  <si>
    <t>@nc(22)-ye(22,99)</t>
  </si>
  <si>
    <t xml:space="preserve">       其他</t>
  </si>
  <si>
    <t xml:space="preserve">      经营活动产生的现金流量净额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</si>
  <si>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</si>
  <si>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</si>
  <si>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</si>
  <si>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</si>
  <si>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3、现金及现金等价物净增加情况：</t>
  </si>
  <si>
    <t xml:space="preserve">   现金的期末余额</t>
  </si>
  <si>
    <t>@ye(1001,99)+ye(1002,99)+ye(1012,99)</t>
  </si>
  <si>
    <t xml:space="preserve">   减：现金的期初余额</t>
  </si>
  <si>
    <t>@nc(1001)+nc(1002)+nc(1012)</t>
  </si>
  <si>
    <t xml:space="preserve">   加：现金等价物的期末余额</t>
  </si>
  <si>
    <t xml:space="preserve">   减：现金等价物的期初余额</t>
  </si>
  <si>
    <t xml:space="preserve">      现金及现金等价物净增加额</t>
  </si>
  <si>
    <t xml:space="preserve">  单位负责人：              财务负责人：              审核：              制表：</t>
  </si>
  <si>
    <t xml:space="preserve">                      会企03表</t>
  </si>
  <si>
    <t xml:space="preserve">纳税人名称：广州润衡软件连锁有限公司                    </t>
  </si>
  <si>
    <t>2011年度N</t>
  </si>
  <si>
    <t xml:space="preserve">                      单位：元   </t>
  </si>
  <si>
    <t>行  次</t>
  </si>
  <si>
    <t>金     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</si>
  <si>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</si>
  <si>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</si>
  <si>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</si>
  <si>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收到的其他与经营活动有关的现金</t>
  </si>
  <si>
    <t>经营活动现金流入小计</t>
  </si>
  <si>
    <t xml:space="preserve">    支付的其他与经营活动有关的现金</t>
  </si>
  <si>
    <t>经营活动现金流出小计</t>
  </si>
  <si>
    <t xml:space="preserve">　　经营活动产生的现金流量净额</t>
  </si>
  <si>
    <t xml:space="preserve">    收回投资所收到的现金</t>
  </si>
  <si>
    <t xml:space="preserve">    取得投资收益所收到的现金</t>
  </si>
  <si>
    <t xml:space="preserve">    处置固定资产、无形资产和其他长期资产所收回的现金净额</t>
  </si>
  <si>
    <t xml:space="preserve">    处置子公司及其他营业单位收到的现金净额</t>
  </si>
  <si>
    <t>投资活动现金流入小计</t>
  </si>
  <si>
    <t xml:space="preserve">    购建固定资产、无形资产和其他长期资产所支付的现金</t>
  </si>
  <si>
    <t xml:space="preserve">    投资支付的现金</t>
  </si>
  <si>
    <t xml:space="preserve">    取得子公司及其他营业单位支付的现金净额</t>
  </si>
  <si>
    <t>投资活动现金流出小计</t>
  </si>
  <si>
    <t xml:space="preserve">    投资活动产生的现金流量净额</t>
  </si>
  <si>
    <t xml:space="preserve">    吸收投资所收到的现金</t>
  </si>
  <si>
    <t xml:space="preserve">    取得借款所收到的现金</t>
  </si>
  <si>
    <t>筹资活动现金流入小计</t>
  </si>
  <si>
    <t xml:space="preserve">    偿还债务所支付的现金</t>
  </si>
  <si>
    <t xml:space="preserve">    分配股利、利润或偿付利息支付的现金</t>
  </si>
  <si>
    <t>筹资活动现金流出小计</t>
  </si>
  <si>
    <t xml:space="preserve">    筹资活动产生的现金流量净额</t>
  </si>
  <si>
    <t>四、汇率变动对现金的影响</t>
  </si>
  <si>
    <t>五、现金及现金等价物净增加额</t>
  </si>
  <si>
    <t>期初现金及现金等价物余额</t>
  </si>
  <si>
    <t>期末现金及现金等价物余额</t>
  </si>
  <si>
    <t>补 充 资 料</t>
  </si>
  <si>
    <t>行 次</t>
  </si>
  <si>
    <t>金   额</t>
  </si>
  <si>
    <t>1、将净利润调节为经营活动现金流量：</t>
  </si>
  <si>
    <t xml:space="preserve">   净利润</t>
  </si>
  <si>
    <t xml:space="preserve">   加：资产减值准备</t>
  </si>
  <si>
    <t xml:space="preserve">       固定资产折旧、油气资产折耗、生产性生物资产折旧</t>
  </si>
  <si>
    <t xml:space="preserve">       递延所得税资产减少（增加以“－”号填列）</t>
  </si>
  <si>
    <t xml:space="preserve">       递延所得税负债增加（减少以“－”号填列）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</si>
</sst>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3" x14ac:knownFonts="1">
    <font>
      <color theme="1"/>
      <family val="2"/>
      <scheme val="minor"/>
      <sz val="11"/>
      <name val="Calibri"/>
    </font>
    <font>
      <sz val="12"/>
      <name val="宋体"/>
    </font>
    <font>
      <sz val="10"/>
      <name val="Arial"/>
    </font>
    <font>
      <b/>
      <charset val="134"/>
      <sz val="22"/>
      <name val="宋体"/>
    </font>
    <font>
      <color indexed="8"/>
      <sz val="12"/>
      <name val="Arial"/>
    </font>
    <font>
      <b/>
      <charset val="134"/>
      <color indexed="16"/>
      <sz val="22"/>
      <name val="宋体"/>
    </font>
    <font>
      <b/>
      <charset val="134"/>
      <sz val="12"/>
      <name val="宋体"/>
    </font>
    <font>
      <charset val="134"/>
      <sz val="12"/>
      <name val="宋体"/>
    </font>
    <font>
      <b/>
      <charset val="134"/>
      <sz val="10"/>
      <name val="宋体"/>
    </font>
    <font>
      <charset val="134"/>
      <sz val="10"/>
      <name val="宋体"/>
    </font>
    <font>
      <charset val="136"/>
      <sz val="9"/>
      <name val="宋体"/>
    </font>
    <font>
      <charset val="134"/>
      <sz val="9"/>
      <name val="宋体"/>
    </font>
    <font>
      <b/>
      <charset val="134"/>
      <sz val="9"/>
      <name val="宋体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Continuous" vertical="center"/>
    </xf>
    <xf numFmtId="164" fontId="2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64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64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164" fontId="9" fillId="0" borderId="2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164" fontId="8" fillId="0" borderId="4" xfId="0" applyNumberFormat="1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right" vertical="center"/>
    </xf>
    <xf numFmtId="0" fontId="6" fillId="0" borderId="0" xfId="0" applyFont="1"/>
    <xf numFmtId="164" fontId="7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164" fontId="11" fillId="0" borderId="2" xfId="0" applyNumberFormat="1" applyFont="1" applyBorder="1" applyAlignment="1">
      <alignment horizontal="right" vertical="center"/>
    </xf>
    <xf numFmtId="164" fontId="11" fillId="0" borderId="7" xfId="0" applyNumberFormat="1" applyFont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/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1" fillId="0" borderId="9" xfId="0" applyFont="1" applyBorder="1" applyAlignment="1">
      <alignment horizontal="centerContinuous" vertical="center" wrapText="1"/>
    </xf>
    <xf numFmtId="0" fontId="11" fillId="0" borderId="5" xfId="0" applyFont="1" applyBorder="1" applyAlignment="1">
      <alignment horizontal="centerContinuous" vertical="center" wrapText="1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/>
    <xf numFmtId="0" fontId="12" fillId="0" borderId="4" xfId="0" applyFont="1" applyBorder="1"/>
    <xf numFmtId="0" fontId="8" fillId="0" borderId="0" xfId="0" applyFont="1"/>
    <xf numFmtId="0" fontId="8" fillId="0" borderId="10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workbookViewId="0" showGridLines="0" zoomScale="100" zoomScaleNormal="100">
      <selection activeCell="A1" sqref="A1"/>
    </sheetView>
  </sheetViews>
  <sheetFormatPr defaultRowHeight="21" outlineLevelRow="0" outlineLevelCol="2" x14ac:dyDescent="0" defaultColWidth="9.14814814814815" customHeight="1"/>
  <cols>
    <col min="1" max="1" width="45.7777777777778" style="1" customWidth="1"/>
    <col min="2" max="2" width="15.7777777777778" style="2" customWidth="1"/>
    <col min="3" max="3" width="18.4444444444444" customWidth="1"/>
    <col min="4" max="16384" width="9.14814814814815" customWidth="1"/>
  </cols>
  <sheetData>
    <row r="1" ht="28" customHeight="1" x14ac:dyDescent="0.25"/>
    <row r="2" ht="21" customHeight="1" spans="1:3" x14ac:dyDescent="0.25">
      <c r="A2" s="3" t="s">
        <v>0</v>
      </c>
      <c r="B2" s="4"/>
      <c r="C2" s="5"/>
    </row>
    <row r="3" ht="21" customHeight="1" spans="1:3" x14ac:dyDescent="0.25">
      <c r="A3" s="6"/>
      <c r="C3" s="7" t="s">
        <v>1</v>
      </c>
    </row>
    <row r="4" ht="21" customHeight="1" spans="1:3" s="8" customFormat="1" x14ac:dyDescent="0.25">
      <c r="A4" s="9" t="s">
        <v>2</v>
      </c>
      <c r="B4" s="10" t="s">
        <v>3</v>
      </c>
      <c r="C4" s="11" t="s">
        <v>4</v>
      </c>
    </row>
    <row r="5" ht="21" customHeight="1" spans="1:3" s="8" customFormat="1" x14ac:dyDescent="0.25">
      <c r="A5" s="12" t="s">
        <v>5</v>
      </c>
      <c r="B5" s="13" t="s">
        <v>6</v>
      </c>
      <c r="C5" s="14" t="s">
        <v>7</v>
      </c>
    </row>
    <row r="6" ht="21" customHeight="1" spans="1:3" s="8" customFormat="1" x14ac:dyDescent="0.25">
      <c r="A6" s="15" t="s">
        <v>8</v>
      </c>
      <c r="B6" s="16">
        <v>0</v>
      </c>
      <c r="C6" s="16">
        <v>0</v>
      </c>
    </row>
    <row r="7" ht="21" customHeight="1" spans="1:3" s="8" customFormat="1" x14ac:dyDescent="0.25">
      <c r="A7" s="17" t="s">
        <v>9</v>
      </c>
      <c r="B7" s="16" t="s">
        <v>10</v>
      </c>
      <c r="C7" s="16" t="s">
        <v>11</v>
      </c>
    </row>
    <row r="8" ht="21" customHeight="1" spans="1:3" s="8" customFormat="1" x14ac:dyDescent="0.25">
      <c r="A8" s="17" t="s">
        <v>12</v>
      </c>
      <c r="B8" s="16" t="s">
        <v>13</v>
      </c>
      <c r="C8" s="16" t="s">
        <v>14</v>
      </c>
    </row>
    <row r="9" ht="21" customHeight="1" spans="1:3" s="8" customFormat="1" x14ac:dyDescent="0.25">
      <c r="A9" s="17" t="s">
        <v>15</v>
      </c>
      <c r="B9" s="16" t="s">
        <v>16</v>
      </c>
      <c r="C9" s="16" t="s">
        <v>17</v>
      </c>
    </row>
    <row r="10" ht="21" customHeight="1" spans="1:3" s="8" customFormat="1" x14ac:dyDescent="0.25">
      <c r="A10" s="17" t="s">
        <v>18</v>
      </c>
      <c r="B10" s="18" t="s">
        <v>19</v>
      </c>
      <c r="C10" s="18" t="s">
        <v>20</v>
      </c>
    </row>
    <row r="11" ht="21" customHeight="1" spans="1:3" s="8" customFormat="1" x14ac:dyDescent="0.25">
      <c r="A11" s="19" t="s">
        <v>21</v>
      </c>
      <c r="B11" s="20" t="e">
        <f>B7+B8+B9+B10</f>
        <v>#VALUE!</v>
      </c>
      <c r="C11" s="20" t="e">
        <f>C7+C8+C9+C10</f>
        <v>#VALUE!</v>
      </c>
    </row>
    <row r="12" ht="21" customHeight="1" spans="1:3" s="8" customFormat="1" x14ac:dyDescent="0.25">
      <c r="A12" s="17" t="s">
        <v>22</v>
      </c>
      <c r="B12" s="21" t="s">
        <v>23</v>
      </c>
      <c r="C12" s="21" t="s">
        <v>24</v>
      </c>
    </row>
    <row r="13" ht="21" customHeight="1" spans="1:3" s="8" customFormat="1" x14ac:dyDescent="0.25">
      <c r="A13" s="17" t="s">
        <v>25</v>
      </c>
      <c r="B13" s="16" t="s">
        <v>26</v>
      </c>
      <c r="C13" s="16" t="s">
        <v>27</v>
      </c>
    </row>
    <row r="14" ht="21" customHeight="1" spans="1:3" s="8" customFormat="1" x14ac:dyDescent="0.25">
      <c r="A14" s="17" t="s">
        <v>28</v>
      </c>
      <c r="B14" s="16" t="s">
        <v>29</v>
      </c>
      <c r="C14" s="16" t="s">
        <v>30</v>
      </c>
    </row>
    <row r="15" ht="21" customHeight="1" spans="1:3" s="8" customFormat="1" x14ac:dyDescent="0.25">
      <c r="A15" s="17" t="s">
        <v>31</v>
      </c>
      <c r="B15" s="18" t="s">
        <v>32</v>
      </c>
      <c r="C15" s="18" t="s">
        <v>33</v>
      </c>
    </row>
    <row r="16" ht="21" customHeight="1" spans="1:3" s="8" customFormat="1" x14ac:dyDescent="0.25">
      <c r="A16" s="19" t="s">
        <v>34</v>
      </c>
      <c r="B16" s="22" t="e">
        <f>B12+B13+B14+B15</f>
        <v>#VALUE!</v>
      </c>
      <c r="C16" s="22" t="e">
        <f>C12+C13+C14+C15</f>
        <v>#VALUE!</v>
      </c>
    </row>
    <row r="17" ht="21" customHeight="1" spans="1:3" s="8" customFormat="1" x14ac:dyDescent="0.25">
      <c r="A17" s="19" t="s">
        <v>35</v>
      </c>
      <c r="B17" s="20" t="e">
        <f>B11-B16</f>
        <v>#VALUE!</v>
      </c>
      <c r="C17" s="20" t="e">
        <f>C11-C16</f>
        <v>#VALUE!</v>
      </c>
    </row>
    <row r="18" ht="21" customHeight="1" spans="1:3" s="8" customFormat="1" x14ac:dyDescent="0.25">
      <c r="A18" s="15" t="s">
        <v>36</v>
      </c>
      <c r="B18" s="21"/>
      <c r="C18" s="21"/>
    </row>
    <row r="19" ht="21" customHeight="1" spans="1:3" s="8" customFormat="1" x14ac:dyDescent="0.25">
      <c r="A19" s="17" t="s">
        <v>37</v>
      </c>
      <c r="B19" s="16" t="s">
        <v>38</v>
      </c>
      <c r="C19" s="16" t="s">
        <v>39</v>
      </c>
    </row>
    <row r="20" ht="21" customHeight="1" spans="1:3" s="8" customFormat="1" x14ac:dyDescent="0.25">
      <c r="A20" s="17" t="s">
        <v>40</v>
      </c>
      <c r="B20" s="16" t="s">
        <v>41</v>
      </c>
      <c r="C20" s="16" t="s">
        <v>42</v>
      </c>
    </row>
    <row r="21" ht="21" customHeight="1" spans="1:3" s="8" customFormat="1" x14ac:dyDescent="0.25">
      <c r="A21" s="17" t="s">
        <v>43</v>
      </c>
      <c r="B21" s="16" t="s">
        <v>44</v>
      </c>
      <c r="C21" s="16" t="s">
        <v>45</v>
      </c>
    </row>
    <row r="22" ht="21" customHeight="1" spans="1:3" s="8" customFormat="1" x14ac:dyDescent="0.25">
      <c r="A22" s="17" t="s">
        <v>46</v>
      </c>
      <c r="B22" s="18" t="s">
        <v>47</v>
      </c>
      <c r="C22" s="18" t="s">
        <v>48</v>
      </c>
    </row>
    <row r="23" ht="21" customHeight="1" spans="1:3" s="8" customFormat="1" x14ac:dyDescent="0.25">
      <c r="A23" s="19" t="s">
        <v>49</v>
      </c>
      <c r="B23" s="20" t="e">
        <f>B19+B20+B21+B22</f>
        <v>#VALUE!</v>
      </c>
      <c r="C23" s="20" t="e">
        <f>C19+C20+C21+C22</f>
        <v>#VALUE!</v>
      </c>
    </row>
    <row r="24" ht="21" customHeight="1" spans="1:3" s="8" customFormat="1" x14ac:dyDescent="0.25">
      <c r="A24" s="17" t="s">
        <v>50</v>
      </c>
      <c r="B24" s="21" t="s">
        <v>51</v>
      </c>
      <c r="C24" s="21" t="s">
        <v>52</v>
      </c>
    </row>
    <row r="25" ht="21" customHeight="1" spans="1:3" s="8" customFormat="1" x14ac:dyDescent="0.25">
      <c r="A25" s="17" t="s">
        <v>53</v>
      </c>
      <c r="B25" s="16" t="s">
        <v>54</v>
      </c>
      <c r="C25" s="16" t="s">
        <v>55</v>
      </c>
    </row>
    <row r="26" ht="21" customHeight="1" spans="1:3" s="8" customFormat="1" x14ac:dyDescent="0.25">
      <c r="A26" s="17" t="s">
        <v>56</v>
      </c>
      <c r="B26" s="16" t="s">
        <v>57</v>
      </c>
      <c r="C26" s="16" t="s">
        <v>58</v>
      </c>
    </row>
    <row r="27" ht="21" customHeight="1" spans="1:3" s="8" customFormat="1" x14ac:dyDescent="0.25">
      <c r="A27" s="17" t="s">
        <v>59</v>
      </c>
      <c r="B27" s="18" t="s">
        <v>60</v>
      </c>
      <c r="C27" s="18" t="s">
        <v>61</v>
      </c>
    </row>
    <row r="28" ht="21" customHeight="1" spans="1:3" s="8" customFormat="1" x14ac:dyDescent="0.25">
      <c r="A28" s="19" t="s">
        <v>62</v>
      </c>
      <c r="B28" s="22" t="e">
        <f>B24+B25+B26+B27</f>
        <v>#VALUE!</v>
      </c>
      <c r="C28" s="22" t="e">
        <f>C24+C25+C26+C27</f>
        <v>#VALUE!</v>
      </c>
    </row>
    <row r="29" ht="21" customHeight="1" spans="1:3" s="8" customFormat="1" x14ac:dyDescent="0.25">
      <c r="A29" s="19" t="s">
        <v>63</v>
      </c>
      <c r="B29" s="20" t="e">
        <f>B23-B28</f>
        <v>#VALUE!</v>
      </c>
      <c r="C29" s="20" t="e">
        <f>C23-C28</f>
        <v>#VALUE!</v>
      </c>
    </row>
    <row r="30" ht="21" customHeight="1" spans="1:3" s="8" customFormat="1" x14ac:dyDescent="0.25">
      <c r="A30" s="15" t="s">
        <v>64</v>
      </c>
      <c r="B30" s="21"/>
      <c r="C30" s="21"/>
    </row>
    <row r="31" ht="21" customHeight="1" spans="1:3" s="8" customFormat="1" x14ac:dyDescent="0.25">
      <c r="A31" s="17" t="s">
        <v>65</v>
      </c>
      <c r="B31" s="16" t="s">
        <v>66</v>
      </c>
      <c r="C31" s="16" t="s">
        <v>67</v>
      </c>
    </row>
    <row r="32" ht="21" customHeight="1" spans="1:3" s="8" customFormat="1" x14ac:dyDescent="0.25">
      <c r="A32" s="17" t="s">
        <v>68</v>
      </c>
      <c r="B32" s="16" t="s">
        <v>69</v>
      </c>
      <c r="C32" s="16" t="s">
        <v>70</v>
      </c>
    </row>
    <row r="33" ht="21" customHeight="1" spans="1:3" s="8" customFormat="1" x14ac:dyDescent="0.25">
      <c r="A33" s="17" t="s">
        <v>71</v>
      </c>
      <c r="B33" s="18" t="s">
        <v>72</v>
      </c>
      <c r="C33" s="18" t="s">
        <v>73</v>
      </c>
    </row>
    <row r="34" ht="21" customHeight="1" spans="1:3" s="8" customFormat="1" x14ac:dyDescent="0.25">
      <c r="A34" s="19" t="s">
        <v>74</v>
      </c>
      <c r="B34" s="20" t="e">
        <f>B31+B32+B33</f>
        <v>#VALUE!</v>
      </c>
      <c r="C34" s="20" t="e">
        <f>C31+C32+C33</f>
        <v>#VALUE!</v>
      </c>
    </row>
    <row r="35" ht="21" customHeight="1" spans="1:3" s="8" customFormat="1" x14ac:dyDescent="0.25">
      <c r="A35" s="17" t="s">
        <v>75</v>
      </c>
      <c r="B35" s="21" t="s">
        <v>76</v>
      </c>
      <c r="C35" s="21" t="s">
        <v>77</v>
      </c>
    </row>
    <row r="36" ht="21" customHeight="1" spans="1:3" s="8" customFormat="1" x14ac:dyDescent="0.25">
      <c r="A36" s="17" t="s">
        <v>78</v>
      </c>
      <c r="B36" s="16" t="s">
        <v>79</v>
      </c>
      <c r="C36" s="16" t="s">
        <v>80</v>
      </c>
    </row>
    <row r="37" ht="21" customHeight="1" spans="1:3" s="8" customFormat="1" x14ac:dyDescent="0.25">
      <c r="A37" s="17" t="s">
        <v>81</v>
      </c>
      <c r="B37" s="18" t="s">
        <v>82</v>
      </c>
      <c r="C37" s="18" t="s">
        <v>83</v>
      </c>
    </row>
    <row r="38" ht="21" customHeight="1" spans="1:3" s="8" customFormat="1" x14ac:dyDescent="0.25">
      <c r="A38" s="19" t="s">
        <v>84</v>
      </c>
      <c r="B38" s="22" t="e">
        <f>B35+B36+B37</f>
        <v>#VALUE!</v>
      </c>
      <c r="C38" s="22" t="e">
        <f>C35+C36+C37</f>
        <v>#VALUE!</v>
      </c>
    </row>
    <row r="39" ht="21" customHeight="1" spans="1:3" s="8" customFormat="1" x14ac:dyDescent="0.25">
      <c r="A39" s="19" t="s">
        <v>85</v>
      </c>
      <c r="B39" s="20" t="e">
        <f>B34-B38</f>
        <v>#VALUE!</v>
      </c>
      <c r="C39" s="20" t="e">
        <f>C34-C38</f>
        <v>#VALUE!</v>
      </c>
    </row>
    <row r="40" ht="21" customHeight="1" spans="1:3" s="8" customFormat="1" x14ac:dyDescent="0.25">
      <c r="A40" s="15" t="s">
        <v>86</v>
      </c>
      <c r="B40" s="23" t="s">
        <v>87</v>
      </c>
      <c r="C40" s="23" t="s">
        <v>88</v>
      </c>
    </row>
    <row r="41" ht="21" customHeight="1" spans="1:3" s="8" customFormat="1" x14ac:dyDescent="0.25">
      <c r="A41" s="19" t="s">
        <v>89</v>
      </c>
      <c r="B41" s="20" t="e">
        <f>B17+B29+B39+B40</f>
        <v>#VALUE!</v>
      </c>
      <c r="C41" s="20" t="e">
        <f>C17+C29+C39+C40</f>
        <v>#VALUE!</v>
      </c>
    </row>
    <row r="42" ht="21" customHeight="1" spans="1:2" s="8" customFormat="1" x14ac:dyDescent="0.25">
      <c r="A42" s="24"/>
      <c r="B42" s="7"/>
    </row>
    <row r="43" ht="21" customHeight="1" spans="1:2" x14ac:dyDescent="0.25">
      <c r="A43" s="9" t="s">
        <v>90</v>
      </c>
      <c r="B43" s="25"/>
    </row>
    <row r="44" ht="13.5" customHeight="1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  <row r="69" spans="1:2" x14ac:dyDescent="0.25">
      <c r="A69" s="1"/>
      <c r="B69" s="2"/>
    </row>
    <row r="70" spans="1:2" x14ac:dyDescent="0.25">
      <c r="A70" s="1"/>
      <c r="B70" s="2"/>
    </row>
    <row r="71" spans="1:2" x14ac:dyDescent="0.25">
      <c r="A71" s="1"/>
      <c r="B71" s="2"/>
    </row>
    <row r="72" spans="1:2" x14ac:dyDescent="0.25">
      <c r="A72" s="1"/>
      <c r="B72" s="2"/>
    </row>
    <row r="73" spans="1:12" s="8" customFormat="1" x14ac:dyDescent="0.25">
      <c r="A73" s="9"/>
      <c r="B73" s="25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ht="12.7" customHeight="1" spans="1:2" x14ac:dyDescent="0.25">
      <c r="A74" s="26"/>
      <c r="B74" s="27"/>
    </row>
    <row r="75" ht="12.7" customHeight="1" spans="1:2" x14ac:dyDescent="0.25">
      <c r="A75" s="1"/>
      <c r="B75" s="2"/>
    </row>
    <row r="76" ht="12.7" customHeight="1" spans="1:2" x14ac:dyDescent="0.25">
      <c r="A76" s="1"/>
      <c r="B76" s="2"/>
    </row>
    <row r="77" ht="12.7" customHeight="1" spans="1:2" x14ac:dyDescent="0.25">
      <c r="A77" s="1"/>
      <c r="B77" s="2"/>
    </row>
    <row r="78" ht="12.7" customHeight="1" spans="1:2" x14ac:dyDescent="0.25">
      <c r="A78" s="26"/>
      <c r="B78" s="27"/>
    </row>
  </sheetData>
  <printOptions horizontalCentered="1" verticalCentered="1"/>
  <pageMargins left="0" right="0" top="0.196850393700787" bottom="0" header="0" footer="0"/>
  <pageSetup paperSize="9" orientation="portrait" horizontalDpi="600" verticalDpi="4294967295" pageOrder="overThenDown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4814814814815" customHeight="1"/>
  <cols>
    <col min="1" max="16384" width="9.14814814814815" customWidth="1"/>
  </cols>
  <sheetData>
    <row r="1" ht="28" customHeight="1" x14ac:dyDescent="0.25"/>
    <row r="2" ht="21" customHeight="1" spans="1:4" x14ac:dyDescent="0.25">
      <c r="A2" s="3" t="s">
        <v>0</v>
      </c>
      <c r="B2" s="4"/>
      <c r="C2" s="5"/>
      <c r="D2" s="5"/>
    </row>
    <row r="3" ht="21" customHeight="1" spans="1:4" x14ac:dyDescent="0.25">
      <c r="A3" s="6"/>
      <c r="B3" s="2"/>
      <c r="C3" s="7" t="s">
        <v>1</v>
      </c>
      <c r="D3" s="7" t="s">
        <v>91</v>
      </c>
    </row>
    <row r="4" ht="21" customHeight="1" spans="1:4" x14ac:dyDescent="0.25">
      <c r="A4" s="9" t="s">
        <v>2</v>
      </c>
      <c r="B4" s="10" t="s">
        <v>3</v>
      </c>
      <c r="C4" s="11" t="s">
        <v>4</v>
      </c>
      <c r="D4" s="11" t="s">
        <v>92</v>
      </c>
    </row>
    <row r="5" ht="21" customHeight="1" spans="1:4" x14ac:dyDescent="0.25">
      <c r="A5" s="12" t="s">
        <v>5</v>
      </c>
      <c r="B5" s="13" t="s">
        <v>6</v>
      </c>
      <c r="C5" s="14" t="s">
        <v>7</v>
      </c>
      <c r="D5" s="14" t="s">
        <v>7</v>
      </c>
    </row>
    <row r="6" ht="21" customHeight="1" spans="1:4" x14ac:dyDescent="0.25">
      <c r="A6" s="15" t="s">
        <v>8</v>
      </c>
      <c r="B6" s="16">
        <v>0</v>
      </c>
      <c r="C6" s="16">
        <v>0</v>
      </c>
      <c r="D6" s="16">
        <v>0</v>
      </c>
    </row>
    <row r="7" ht="21" customHeight="1" spans="1:4" x14ac:dyDescent="0.25">
      <c r="A7" s="17" t="s">
        <v>9</v>
      </c>
      <c r="B7" s="16" t="s">
        <v>10</v>
      </c>
      <c r="C7" s="16" t="s">
        <v>11</v>
      </c>
      <c r="D7" s="16" t="s">
        <v>93</v>
      </c>
    </row>
    <row r="8" ht="21" customHeight="1" spans="1:4" x14ac:dyDescent="0.25">
      <c r="A8" s="17" t="s">
        <v>12</v>
      </c>
      <c r="B8" s="16" t="s">
        <v>13</v>
      </c>
      <c r="C8" s="16" t="s">
        <v>14</v>
      </c>
      <c r="D8" s="16" t="s">
        <v>94</v>
      </c>
    </row>
    <row r="9" ht="21" customHeight="1" spans="1:4" x14ac:dyDescent="0.25">
      <c r="A9" s="17" t="s">
        <v>15</v>
      </c>
      <c r="B9" s="16" t="s">
        <v>16</v>
      </c>
      <c r="C9" s="16" t="s">
        <v>17</v>
      </c>
      <c r="D9" s="16" t="s">
        <v>95</v>
      </c>
    </row>
    <row r="10" ht="21" customHeight="1" spans="1:4" x14ac:dyDescent="0.25">
      <c r="A10" s="17" t="s">
        <v>18</v>
      </c>
      <c r="B10" s="18" t="s">
        <v>19</v>
      </c>
      <c r="C10" s="18" t="s">
        <v>20</v>
      </c>
      <c r="D10" s="16" t="s">
        <v>96</v>
      </c>
    </row>
    <row r="11" ht="21" customHeight="1" spans="1:4" x14ac:dyDescent="0.25">
      <c r="A11" s="19" t="s">
        <v>21</v>
      </c>
      <c r="B11" s="20" t="e">
        <f>B7+B8+B9+B10</f>
        <v>#VALUE!</v>
      </c>
      <c r="C11" s="20" t="e">
        <f>C7+C8+C9+C10</f>
        <v>#VALUE!</v>
      </c>
      <c r="D11" s="16" t="s">
        <v>97</v>
      </c>
    </row>
    <row r="12" ht="21" customHeight="1" spans="1:4" x14ac:dyDescent="0.25">
      <c r="A12" s="17" t="s">
        <v>22</v>
      </c>
      <c r="B12" s="21" t="s">
        <v>23</v>
      </c>
      <c r="C12" s="21" t="s">
        <v>24</v>
      </c>
      <c r="D12" s="16" t="s">
        <v>98</v>
      </c>
    </row>
    <row r="13" ht="21" customHeight="1" spans="1:4" x14ac:dyDescent="0.25">
      <c r="A13" s="17" t="s">
        <v>25</v>
      </c>
      <c r="B13" s="16" t="s">
        <v>26</v>
      </c>
      <c r="C13" s="16" t="s">
        <v>27</v>
      </c>
      <c r="D13" s="16" t="e">
        <f>D7+D8-D9-D10-D11-D12</f>
        <v>#VALUE!</v>
      </c>
    </row>
    <row r="14" ht="21" customHeight="1" spans="1:4" x14ac:dyDescent="0.25">
      <c r="A14" s="17" t="s">
        <v>28</v>
      </c>
      <c r="B14" s="16" t="s">
        <v>29</v>
      </c>
      <c r="C14" s="16" t="s">
        <v>30</v>
      </c>
      <c r="D14" s="16"/>
    </row>
    <row r="15" ht="21" customHeight="1" spans="1:4" x14ac:dyDescent="0.25">
      <c r="A15" s="17" t="s">
        <v>31</v>
      </c>
      <c r="B15" s="18" t="s">
        <v>32</v>
      </c>
      <c r="C15" s="18" t="s">
        <v>33</v>
      </c>
      <c r="D15" s="16" t="s">
        <v>99</v>
      </c>
    </row>
    <row r="16" ht="21" customHeight="1" spans="1:4" x14ac:dyDescent="0.25">
      <c r="A16" s="19" t="s">
        <v>34</v>
      </c>
      <c r="B16" s="22" t="e">
        <f>B12+B13+B14+B15</f>
        <v>#VALUE!</v>
      </c>
      <c r="C16" s="22" t="e">
        <f>C12+C13+C14+C15</f>
        <v>#VALUE!</v>
      </c>
      <c r="D16" s="16" t="s">
        <v>100</v>
      </c>
    </row>
    <row r="17" ht="21" customHeight="1" spans="1:4" x14ac:dyDescent="0.25">
      <c r="A17" s="19" t="s">
        <v>35</v>
      </c>
      <c r="B17" s="20" t="e">
        <f>B11-B16</f>
        <v>#VALUE!</v>
      </c>
      <c r="C17" s="20" t="e">
        <f>C11-C16</f>
        <v>#VALUE!</v>
      </c>
      <c r="D17" s="16" t="s">
        <v>101</v>
      </c>
    </row>
    <row r="18" ht="21" customHeight="1" spans="1:4" x14ac:dyDescent="0.25">
      <c r="A18" s="15" t="s">
        <v>36</v>
      </c>
      <c r="B18" s="21"/>
      <c r="C18" s="21"/>
      <c r="D18" s="16" t="s">
        <v>102</v>
      </c>
    </row>
    <row r="19" ht="21" customHeight="1" spans="1:4" x14ac:dyDescent="0.25">
      <c r="A19" s="17" t="s">
        <v>37</v>
      </c>
      <c r="B19" s="16" t="s">
        <v>38</v>
      </c>
      <c r="C19" s="16" t="s">
        <v>39</v>
      </c>
      <c r="D19" s="16" t="s">
        <v>103</v>
      </c>
    </row>
    <row r="20" ht="21" customHeight="1" spans="1:4" x14ac:dyDescent="0.25">
      <c r="A20" s="17" t="s">
        <v>40</v>
      </c>
      <c r="B20" s="16" t="s">
        <v>41</v>
      </c>
      <c r="C20" s="16" t="s">
        <v>42</v>
      </c>
      <c r="D20" s="16" t="e">
        <f>D15+D16+D17-D18-D19</f>
        <v>#VALUE!</v>
      </c>
    </row>
    <row r="21" ht="21" customHeight="1" spans="1:4" x14ac:dyDescent="0.25">
      <c r="A21" s="17" t="s">
        <v>43</v>
      </c>
      <c r="B21" s="16" t="s">
        <v>44</v>
      </c>
      <c r="C21" s="16" t="s">
        <v>45</v>
      </c>
      <c r="D21" s="16"/>
    </row>
    <row r="22" ht="21" customHeight="1" spans="1:4" x14ac:dyDescent="0.25">
      <c r="A22" s="17" t="s">
        <v>46</v>
      </c>
      <c r="B22" s="18" t="s">
        <v>47</v>
      </c>
      <c r="C22" s="18" t="s">
        <v>48</v>
      </c>
      <c r="D22" s="16" t="s">
        <v>104</v>
      </c>
    </row>
    <row r="23" ht="21" customHeight="1" spans="1:4" x14ac:dyDescent="0.25">
      <c r="A23" s="19" t="s">
        <v>49</v>
      </c>
      <c r="B23" s="20" t="e">
        <f>B19+B20+B21+B22</f>
        <v>#VALUE!</v>
      </c>
      <c r="C23" s="20" t="e">
        <f>C19+C20+C21+C22</f>
        <v>#VALUE!</v>
      </c>
      <c r="D23" s="16" t="s">
        <v>105</v>
      </c>
    </row>
    <row r="24" ht="21" customHeight="1" spans="1:4" x14ac:dyDescent="0.25">
      <c r="A24" s="17" t="s">
        <v>50</v>
      </c>
      <c r="B24" s="21" t="s">
        <v>51</v>
      </c>
      <c r="C24" s="21" t="s">
        <v>52</v>
      </c>
      <c r="D24" s="16" t="s">
        <v>106</v>
      </c>
    </row>
    <row r="25" ht="21" customHeight="1" spans="1:4" x14ac:dyDescent="0.25">
      <c r="A25" s="17" t="s">
        <v>53</v>
      </c>
      <c r="B25" s="16" t="s">
        <v>54</v>
      </c>
      <c r="C25" s="16" t="s">
        <v>55</v>
      </c>
      <c r="D25" s="16" t="s">
        <v>107</v>
      </c>
    </row>
    <row r="26" ht="21" customHeight="1" spans="1:4" x14ac:dyDescent="0.25">
      <c r="A26" s="17" t="s">
        <v>56</v>
      </c>
      <c r="B26" s="16" t="s">
        <v>57</v>
      </c>
      <c r="C26" s="16" t="s">
        <v>58</v>
      </c>
      <c r="D26" s="16" t="s">
        <v>108</v>
      </c>
    </row>
    <row r="27" ht="21" customHeight="1" spans="1:4" x14ac:dyDescent="0.25">
      <c r="A27" s="17" t="s">
        <v>59</v>
      </c>
      <c r="B27" s="18" t="s">
        <v>60</v>
      </c>
      <c r="C27" s="18" t="s">
        <v>61</v>
      </c>
      <c r="D27" s="16" t="e">
        <f>D22+D23-D24-D25-D26</f>
        <v>#VALUE!</v>
      </c>
    </row>
    <row r="28" ht="21" customHeight="1" spans="1:4" x14ac:dyDescent="0.25">
      <c r="A28" s="19" t="s">
        <v>62</v>
      </c>
      <c r="B28" s="22" t="e">
        <f>B24+B25+B26+B27</f>
        <v>#VALUE!</v>
      </c>
      <c r="C28" s="22" t="e">
        <f>C24+C25+C26+C27</f>
        <v>#VALUE!</v>
      </c>
      <c r="D28" s="16" t="e">
        <f>D13+D20+D27</f>
        <v>#VALUE!</v>
      </c>
    </row>
    <row r="29" ht="21" customHeight="1" spans="1:4" x14ac:dyDescent="0.25">
      <c r="A29" s="19" t="s">
        <v>63</v>
      </c>
      <c r="B29" s="20" t="e">
        <f>B23-B28</f>
        <v>#VALUE!</v>
      </c>
      <c r="C29" s="20" t="e">
        <f>C23-C28</f>
        <v>#VALUE!</v>
      </c>
      <c r="D29" s="18" t="s">
        <v>109</v>
      </c>
    </row>
    <row r="30" ht="21" customHeight="1" spans="1:4" x14ac:dyDescent="0.25">
      <c r="A30" s="15" t="s">
        <v>64</v>
      </c>
      <c r="B30" s="21"/>
      <c r="C30" s="21"/>
      <c r="D30" s="16" t="e">
        <f>D28+D29</f>
        <v>#VALUE!</v>
      </c>
    </row>
    <row r="31" ht="21" customHeight="1" spans="1:4" x14ac:dyDescent="0.25">
      <c r="A31" s="17" t="s">
        <v>65</v>
      </c>
      <c r="B31" s="16" t="s">
        <v>66</v>
      </c>
      <c r="C31" s="16" t="s">
        <v>67</v>
      </c>
      <c r="D31" s="8"/>
    </row>
    <row r="32" ht="21" customHeight="1" spans="1:3" x14ac:dyDescent="0.25">
      <c r="A32" s="17" t="s">
        <v>68</v>
      </c>
      <c r="B32" s="16" t="s">
        <v>69</v>
      </c>
      <c r="C32" s="16" t="s">
        <v>70</v>
      </c>
    </row>
    <row r="33" ht="21" customHeight="1" spans="1:3" x14ac:dyDescent="0.25">
      <c r="A33" s="17" t="s">
        <v>71</v>
      </c>
      <c r="B33" s="18" t="s">
        <v>72</v>
      </c>
      <c r="C33" s="18" t="s">
        <v>73</v>
      </c>
    </row>
    <row r="34" ht="21" customHeight="1" spans="1:3" x14ac:dyDescent="0.25">
      <c r="A34" s="19" t="s">
        <v>74</v>
      </c>
      <c r="B34" s="20" t="e">
        <f>B31+B32+B33</f>
        <v>#VALUE!</v>
      </c>
      <c r="C34" s="20" t="e">
        <f>C31+C32+C33</f>
        <v>#VALUE!</v>
      </c>
    </row>
    <row r="35" ht="21" customHeight="1" spans="1:3" x14ac:dyDescent="0.25">
      <c r="A35" s="17" t="s">
        <v>75</v>
      </c>
      <c r="B35" s="21" t="s">
        <v>76</v>
      </c>
      <c r="C35" s="21" t="s">
        <v>77</v>
      </c>
    </row>
    <row r="36" ht="21" customHeight="1" spans="1:3" x14ac:dyDescent="0.25">
      <c r="A36" s="17" t="s">
        <v>78</v>
      </c>
      <c r="B36" s="16" t="s">
        <v>79</v>
      </c>
      <c r="C36" s="16" t="s">
        <v>80</v>
      </c>
    </row>
    <row r="37" ht="21" customHeight="1" spans="1:3" x14ac:dyDescent="0.25">
      <c r="A37" s="17" t="s">
        <v>81</v>
      </c>
      <c r="B37" s="18" t="s">
        <v>82</v>
      </c>
      <c r="C37" s="18" t="s">
        <v>83</v>
      </c>
    </row>
    <row r="38" ht="21" customHeight="1" spans="1:3" x14ac:dyDescent="0.25">
      <c r="A38" s="19" t="s">
        <v>84</v>
      </c>
      <c r="B38" s="22" t="e">
        <f>B35+B36+B37</f>
        <v>#VALUE!</v>
      </c>
      <c r="C38" s="22" t="e">
        <f>C35+C36+C37</f>
        <v>#VALUE!</v>
      </c>
    </row>
    <row r="39" ht="21" customHeight="1" spans="1:4" x14ac:dyDescent="0.25">
      <c r="A39" s="19" t="s">
        <v>85</v>
      </c>
      <c r="B39" s="20" t="e">
        <f>B34-B38</f>
        <v>#VALUE!</v>
      </c>
      <c r="C39" s="20" t="e">
        <f>C34-C38</f>
        <v>#VALUE!</v>
      </c>
      <c r="D39" s="8"/>
    </row>
    <row r="40" ht="21" customHeight="1" spans="1:4" x14ac:dyDescent="0.25">
      <c r="A40" s="15" t="s">
        <v>86</v>
      </c>
      <c r="B40" s="23" t="s">
        <v>87</v>
      </c>
      <c r="C40" s="23" t="s">
        <v>88</v>
      </c>
      <c r="D40" s="8"/>
    </row>
    <row r="41" ht="21" customHeight="1" spans="1:4" x14ac:dyDescent="0.25">
      <c r="A41" s="19" t="s">
        <v>89</v>
      </c>
      <c r="B41" s="20" t="e">
        <f>B17+B29+B39+B40</f>
        <v>#VALUE!</v>
      </c>
      <c r="C41" s="20" t="e">
        <f>C17+C29+C39+C40</f>
        <v>#VALUE!</v>
      </c>
      <c r="D41" s="8"/>
    </row>
    <row r="42" ht="21" customHeight="1" spans="1:3" x14ac:dyDescent="0.25">
      <c r="A42" s="24"/>
      <c r="B42" s="7"/>
      <c r="C42" s="8"/>
    </row>
    <row r="43" ht="21" customHeight="1" spans="1:2" x14ac:dyDescent="0.25">
      <c r="A43" s="9" t="s">
        <v>90</v>
      </c>
      <c r="B43" s="25"/>
    </row>
    <row r="44" ht="21" customHeight="1" x14ac:dyDescent="0.25"/>
    <row r="45" ht="21" customHeight="1" spans="1:3" x14ac:dyDescent="0.25">
      <c r="A45" s="28" t="s">
        <v>110</v>
      </c>
      <c r="B45" s="29">
        <f t="shared" ref="B45:B71" si="0">B44+1</f>
        <v>1</v>
      </c>
      <c r="C45" s="30"/>
    </row>
    <row r="46" ht="21" customHeight="1" spans="1:3" x14ac:dyDescent="0.25">
      <c r="A46" s="31" t="s">
        <v>111</v>
      </c>
      <c r="B46" s="29">
        <f t="shared" si="0"/>
        <v>2</v>
      </c>
      <c r="C46" s="30" t="s">
        <v>112</v>
      </c>
    </row>
    <row r="47" ht="21" customHeight="1" spans="1:3" x14ac:dyDescent="0.25">
      <c r="A47" s="31" t="s">
        <v>113</v>
      </c>
      <c r="B47" s="29">
        <f t="shared" si="0"/>
        <v>3</v>
      </c>
      <c r="C47" s="30" t="s">
        <v>114</v>
      </c>
    </row>
    <row r="48" ht="21" customHeight="1" spans="1:3" x14ac:dyDescent="0.25">
      <c r="A48" s="31" t="s">
        <v>115</v>
      </c>
      <c r="B48" s="29">
        <f t="shared" si="0"/>
        <v>4</v>
      </c>
      <c r="C48" s="30" t="s">
        <v>116</v>
      </c>
    </row>
    <row r="49" ht="21" customHeight="1" spans="1:3" x14ac:dyDescent="0.25">
      <c r="A49" s="31" t="s">
        <v>117</v>
      </c>
      <c r="B49" s="29">
        <f t="shared" si="0"/>
        <v>5</v>
      </c>
      <c r="C49" s="30"/>
    </row>
    <row r="50" ht="21" customHeight="1" spans="1:3" x14ac:dyDescent="0.25">
      <c r="A50" s="31" t="s">
        <v>118</v>
      </c>
      <c r="B50" s="29">
        <f t="shared" si="0"/>
        <v>6</v>
      </c>
      <c r="C50" s="30"/>
    </row>
    <row r="51" ht="21" customHeight="1" spans="1:3" x14ac:dyDescent="0.25">
      <c r="A51" s="31" t="s">
        <v>119</v>
      </c>
      <c r="B51" s="29">
        <f t="shared" si="0"/>
        <v>7</v>
      </c>
      <c r="C51" s="30"/>
    </row>
    <row r="52" ht="21" customHeight="1" spans="1:3" x14ac:dyDescent="0.25">
      <c r="A52" s="31" t="s">
        <v>120</v>
      </c>
      <c r="B52" s="29">
        <f t="shared" si="0"/>
        <v>8</v>
      </c>
      <c r="C52" s="30"/>
    </row>
    <row r="53" ht="21" customHeight="1" spans="1:3" x14ac:dyDescent="0.25">
      <c r="A53" s="31" t="s">
        <v>121</v>
      </c>
      <c r="B53" s="29">
        <f t="shared" si="0"/>
        <v>9</v>
      </c>
      <c r="C53" s="32" t="s">
        <v>122</v>
      </c>
    </row>
    <row r="54" ht="21" customHeight="1" spans="1:3" x14ac:dyDescent="0.25">
      <c r="A54" s="31" t="s">
        <v>123</v>
      </c>
      <c r="B54" s="29">
        <f t="shared" si="0"/>
        <v>10</v>
      </c>
      <c r="C54" s="33" t="s">
        <v>124</v>
      </c>
    </row>
    <row r="55" ht="21" customHeight="1" spans="1:3" x14ac:dyDescent="0.25">
      <c r="A55" s="31" t="s">
        <v>125</v>
      </c>
      <c r="B55" s="29">
        <f t="shared" si="0"/>
        <v>11</v>
      </c>
      <c r="C55" s="34"/>
    </row>
    <row r="56" ht="21" customHeight="1" spans="1:3" x14ac:dyDescent="0.25">
      <c r="A56" s="31" t="s">
        <v>126</v>
      </c>
      <c r="B56" s="29">
        <f t="shared" si="0"/>
        <v>12</v>
      </c>
      <c r="C56" s="34"/>
    </row>
    <row r="57" ht="21" customHeight="1" spans="1:3" x14ac:dyDescent="0.25">
      <c r="A57" s="31" t="s">
        <v>127</v>
      </c>
      <c r="B57" s="29">
        <f t="shared" si="0"/>
        <v>13</v>
      </c>
      <c r="C57" s="30" t="s">
        <v>128</v>
      </c>
    </row>
    <row r="58" ht="21" customHeight="1" spans="1:3" x14ac:dyDescent="0.25">
      <c r="A58" s="31" t="s">
        <v>129</v>
      </c>
      <c r="B58" s="29">
        <f t="shared" si="0"/>
        <v>14</v>
      </c>
      <c r="C58" s="30" t="s">
        <v>130</v>
      </c>
    </row>
    <row r="59" ht="21" customHeight="1" spans="1:3" x14ac:dyDescent="0.25">
      <c r="A59" s="35" t="s">
        <v>131</v>
      </c>
      <c r="B59" s="29">
        <f t="shared" si="0"/>
        <v>15</v>
      </c>
      <c r="C59" s="30" t="s">
        <v>132</v>
      </c>
    </row>
    <row r="60" ht="21" customHeight="1" spans="1:3" x14ac:dyDescent="0.25">
      <c r="A60" s="35" t="s">
        <v>133</v>
      </c>
      <c r="B60" s="29">
        <f t="shared" si="0"/>
        <v>16</v>
      </c>
      <c r="C60" s="30" t="e">
        <f>C13-SUM(C44:C59)</f>
        <v>#VALUE!</v>
      </c>
    </row>
    <row r="61" ht="21" customHeight="1" spans="1:3" x14ac:dyDescent="0.25">
      <c r="A61" s="36" t="s">
        <v>134</v>
      </c>
      <c r="B61" s="29">
        <f t="shared" si="0"/>
        <v>17</v>
      </c>
      <c r="C61" s="30" t="e">
        <f>SUM(C44:C60)</f>
        <v>#VALUE!</v>
      </c>
    </row>
    <row r="62" ht="21" customHeight="1" spans="1:3" x14ac:dyDescent="0.25">
      <c r="A62" s="37" t="s">
        <v>135</v>
      </c>
      <c r="B62" s="29">
        <f t="shared" si="0"/>
        <v>18</v>
      </c>
      <c r="C62" s="30"/>
    </row>
    <row r="63" ht="21" customHeight="1" spans="1:3" x14ac:dyDescent="0.25">
      <c r="A63" s="31" t="s">
        <v>136</v>
      </c>
      <c r="B63" s="29">
        <f t="shared" si="0"/>
        <v>19</v>
      </c>
      <c r="C63" s="30"/>
    </row>
    <row r="64" ht="21" customHeight="1" spans="1:3" x14ac:dyDescent="0.25">
      <c r="A64" s="31" t="s">
        <v>137</v>
      </c>
      <c r="B64" s="29">
        <f t="shared" si="0"/>
        <v>20</v>
      </c>
      <c r="C64" s="30"/>
    </row>
    <row r="65" ht="21" customHeight="1" spans="1:3" x14ac:dyDescent="0.25">
      <c r="A65" s="31" t="s">
        <v>138</v>
      </c>
      <c r="B65" s="29">
        <f t="shared" si="0"/>
        <v>21</v>
      </c>
      <c r="C65" s="30"/>
    </row>
    <row r="66" ht="21" customHeight="1" spans="1:3" x14ac:dyDescent="0.25">
      <c r="A66" s="37" t="s">
        <v>139</v>
      </c>
      <c r="B66" s="29">
        <f t="shared" si="0"/>
        <v>22</v>
      </c>
      <c r="C66" s="30"/>
    </row>
    <row r="67" ht="21" customHeight="1" spans="1:3" x14ac:dyDescent="0.25">
      <c r="A67" s="31" t="s">
        <v>140</v>
      </c>
      <c r="B67" s="29">
        <f t="shared" si="0"/>
        <v>23</v>
      </c>
      <c r="C67" s="30" t="s">
        <v>141</v>
      </c>
    </row>
    <row r="68" ht="21" customHeight="1" spans="1:3" x14ac:dyDescent="0.25">
      <c r="A68" s="31" t="s">
        <v>142</v>
      </c>
      <c r="B68" s="29">
        <f t="shared" si="0"/>
        <v>24</v>
      </c>
      <c r="C68" s="30" t="s">
        <v>143</v>
      </c>
    </row>
    <row r="69" ht="21" customHeight="1" spans="1:3" x14ac:dyDescent="0.25">
      <c r="A69" s="31" t="s">
        <v>144</v>
      </c>
      <c r="B69" s="29">
        <f t="shared" si="0"/>
        <v>25</v>
      </c>
      <c r="C69" s="30">
        <v>0</v>
      </c>
    </row>
    <row r="70" ht="21" customHeight="1" spans="1:3" x14ac:dyDescent="0.25">
      <c r="A70" s="35" t="s">
        <v>145</v>
      </c>
      <c r="B70" s="29">
        <f t="shared" si="0"/>
        <v>26</v>
      </c>
      <c r="C70" s="30">
        <v>0</v>
      </c>
    </row>
    <row r="71" ht="21" customHeight="1" spans="1:3" x14ac:dyDescent="0.25">
      <c r="A71" s="36" t="s">
        <v>146</v>
      </c>
      <c r="B71" s="29">
        <f t="shared" si="0"/>
        <v>27</v>
      </c>
      <c r="C71" s="30" t="e">
        <f>C67-C68+C69-C70</f>
        <v>#VALUE!</v>
      </c>
    </row>
    <row r="72" ht="21" customHeight="1" spans="1:3" x14ac:dyDescent="0.25">
      <c r="A72" s="38" t="s">
        <v>147</v>
      </c>
      <c r="B72" s="26"/>
      <c r="C72" s="27"/>
    </row>
    <row r="73" ht="21" customHeight="1" spans="1:3" x14ac:dyDescent="0.25">
      <c r="A73" s="35" t="s">
        <v>145</v>
      </c>
      <c r="B73" s="29">
        <f>B72+1</f>
        <v>1</v>
      </c>
      <c r="C73" s="30">
        <v>0</v>
      </c>
    </row>
    <row r="74" ht="21" customHeight="1" spans="1:3" x14ac:dyDescent="0.25">
      <c r="A74" s="36" t="s">
        <v>146</v>
      </c>
      <c r="B74" s="29">
        <f>B73+1</f>
        <v>2</v>
      </c>
      <c r="C74" s="30" t="e">
        <f>C70-C71+C72-C73</f>
        <v>#VALUE!</v>
      </c>
    </row>
    <row r="75" ht="21" customHeight="1" spans="1:3" x14ac:dyDescent="0.25">
      <c r="A75" s="38" t="s">
        <v>147</v>
      </c>
      <c r="B75" s="26"/>
      <c r="C75" s="27"/>
    </row>
    <row r="79" spans="1:3" x14ac:dyDescent="0.25">
      <c r="A79" s="26"/>
      <c r="B79" s="26"/>
      <c r="C79" s="27"/>
    </row>
    <row r="80" spans="1:3" x14ac:dyDescent="0.25">
      <c r="A80" s="26"/>
      <c r="B80" s="26"/>
      <c r="C80" s="27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 zoomScale="100" zoomScaleNormal="100">
      <selection activeCell="A1" sqref="A1"/>
    </sheetView>
  </sheetViews>
  <sheetFormatPr defaultRowHeight="21" outlineLevelRow="0" outlineLevelCol="2" x14ac:dyDescent="0" defaultColWidth="9.14814814814815" customHeight="1"/>
  <cols>
    <col min="1" max="16384" width="9.14814814814815" customWidth="1"/>
  </cols>
  <sheetData>
    <row r="1" ht="28" customHeight="1" x14ac:dyDescent="0.25"/>
    <row r="2" ht="21" customHeight="1" spans="1:3" x14ac:dyDescent="0.25">
      <c r="A2" s="3" t="s">
        <v>0</v>
      </c>
      <c r="B2" s="5"/>
      <c r="C2" s="4"/>
    </row>
    <row r="3" ht="21" customHeight="1" spans="1:3" x14ac:dyDescent="0.25">
      <c r="A3" s="6"/>
      <c r="B3" s="5"/>
      <c r="C3" s="39" t="s">
        <v>148</v>
      </c>
    </row>
    <row r="4" ht="21" customHeight="1" spans="1:3" x14ac:dyDescent="0.25">
      <c r="A4" s="38" t="s">
        <v>149</v>
      </c>
      <c r="B4" s="40" t="s">
        <v>150</v>
      </c>
      <c r="C4" s="41" t="s">
        <v>151</v>
      </c>
    </row>
    <row r="5" ht="21" customHeight="1" spans="1:3" x14ac:dyDescent="0.25">
      <c r="A5" s="42" t="s">
        <v>5</v>
      </c>
      <c r="B5" s="42" t="s">
        <v>152</v>
      </c>
      <c r="C5" s="43" t="s">
        <v>153</v>
      </c>
    </row>
    <row r="6" ht="21" customHeight="1" spans="1:3" x14ac:dyDescent="0.25">
      <c r="A6" s="44" t="s">
        <v>154</v>
      </c>
      <c r="B6" s="45">
        <v>1</v>
      </c>
      <c r="C6" s="30">
        <v>0</v>
      </c>
    </row>
    <row r="7" ht="21" customHeight="1" spans="1:3" x14ac:dyDescent="0.25">
      <c r="A7" s="31" t="s">
        <v>155</v>
      </c>
      <c r="B7" s="46">
        <f t="shared" ref="B7:B43" si="0">B6+1</f>
        <v>2</v>
      </c>
      <c r="C7" s="30">
        <f>0</f>
        <v>0</v>
      </c>
    </row>
    <row r="8" ht="21" customHeight="1" spans="1:3" x14ac:dyDescent="0.25">
      <c r="A8" s="31" t="s">
        <v>156</v>
      </c>
      <c r="B8" s="46">
        <f t="shared" si="0"/>
        <v>3</v>
      </c>
      <c r="C8" s="30">
        <f>0</f>
        <v>0</v>
      </c>
    </row>
    <row r="9" ht="21" customHeight="1" spans="1:3" x14ac:dyDescent="0.25">
      <c r="A9" s="31" t="s">
        <v>157</v>
      </c>
      <c r="B9" s="46">
        <f t="shared" si="0"/>
        <v>4</v>
      </c>
      <c r="C9" s="30">
        <f>0</f>
        <v>0</v>
      </c>
    </row>
    <row r="10" ht="21" customHeight="1" spans="1:3" x14ac:dyDescent="0.25">
      <c r="A10" s="47" t="s">
        <v>158</v>
      </c>
      <c r="B10" s="46">
        <f t="shared" si="0"/>
        <v>5</v>
      </c>
      <c r="C10" s="30">
        <f>SUM(C7:C9)</f>
        <v>0</v>
      </c>
    </row>
    <row r="11" ht="21" customHeight="1" spans="1:3" x14ac:dyDescent="0.25">
      <c r="A11" s="31" t="s">
        <v>22</v>
      </c>
      <c r="B11" s="46">
        <f t="shared" si="0"/>
        <v>6</v>
      </c>
      <c r="C11" s="30">
        <f>0</f>
        <v>0</v>
      </c>
    </row>
    <row r="12" ht="21" customHeight="1" spans="1:3" x14ac:dyDescent="0.25">
      <c r="A12" s="31" t="s">
        <v>25</v>
      </c>
      <c r="B12" s="46">
        <f t="shared" si="0"/>
        <v>7</v>
      </c>
      <c r="C12" s="30">
        <f>0</f>
        <v>0</v>
      </c>
    </row>
    <row r="13" ht="21" customHeight="1" spans="1:3" x14ac:dyDescent="0.25">
      <c r="A13" s="31" t="s">
        <v>28</v>
      </c>
      <c r="B13" s="46">
        <f t="shared" si="0"/>
        <v>8</v>
      </c>
      <c r="C13" s="30">
        <f>0</f>
        <v>0</v>
      </c>
    </row>
    <row r="14" ht="21" customHeight="1" spans="1:3" x14ac:dyDescent="0.25">
      <c r="A14" s="31" t="s">
        <v>159</v>
      </c>
      <c r="B14" s="46">
        <f t="shared" si="0"/>
        <v>9</v>
      </c>
      <c r="C14" s="30">
        <f>0</f>
        <v>0</v>
      </c>
    </row>
    <row r="15" ht="21" customHeight="1" spans="1:3" x14ac:dyDescent="0.25">
      <c r="A15" s="47" t="s">
        <v>160</v>
      </c>
      <c r="B15" s="46">
        <f t="shared" si="0"/>
        <v>10</v>
      </c>
      <c r="C15" s="30">
        <f>SUM(C11:C14)</f>
        <v>0</v>
      </c>
    </row>
    <row r="16" ht="21" customHeight="1" spans="1:3" x14ac:dyDescent="0.25">
      <c r="A16" s="36" t="s">
        <v>161</v>
      </c>
      <c r="B16" s="46">
        <f t="shared" si="0"/>
        <v>11</v>
      </c>
      <c r="C16" s="30">
        <f>C10-C15</f>
        <v>0</v>
      </c>
    </row>
    <row r="17" ht="21" customHeight="1" spans="1:3" x14ac:dyDescent="0.25">
      <c r="A17" s="15" t="s">
        <v>36</v>
      </c>
      <c r="B17" s="46">
        <f t="shared" si="0"/>
        <v>12</v>
      </c>
      <c r="C17" s="30"/>
    </row>
    <row r="18" ht="21" customHeight="1" spans="1:3" x14ac:dyDescent="0.25">
      <c r="A18" s="31" t="s">
        <v>162</v>
      </c>
      <c r="B18" s="46">
        <f t="shared" si="0"/>
        <v>13</v>
      </c>
      <c r="C18" s="30">
        <f>0</f>
        <v>0</v>
      </c>
    </row>
    <row r="19" ht="21" customHeight="1" spans="1:3" x14ac:dyDescent="0.25">
      <c r="A19" s="31" t="s">
        <v>163</v>
      </c>
      <c r="B19" s="46">
        <f t="shared" si="0"/>
        <v>14</v>
      </c>
      <c r="C19" s="30">
        <f>0</f>
        <v>0</v>
      </c>
    </row>
    <row r="20" ht="21" customHeight="1" spans="1:3" x14ac:dyDescent="0.25">
      <c r="A20" s="31" t="s">
        <v>164</v>
      </c>
      <c r="B20" s="46">
        <f t="shared" si="0"/>
        <v>15</v>
      </c>
      <c r="C20" s="30">
        <f>0</f>
        <v>0</v>
      </c>
    </row>
    <row r="21" ht="21" customHeight="1" spans="1:3" x14ac:dyDescent="0.25">
      <c r="A21" s="31" t="s">
        <v>165</v>
      </c>
      <c r="B21" s="46">
        <f t="shared" si="0"/>
        <v>16</v>
      </c>
      <c r="C21" s="30">
        <f>0</f>
        <v>0</v>
      </c>
    </row>
    <row r="22" ht="21" customHeight="1" spans="1:3" x14ac:dyDescent="0.25">
      <c r="A22" s="31" t="s">
        <v>46</v>
      </c>
      <c r="B22" s="46">
        <f t="shared" si="0"/>
        <v>17</v>
      </c>
      <c r="C22" s="30">
        <f>0</f>
        <v>0</v>
      </c>
    </row>
    <row r="23" ht="21" customHeight="1" spans="1:3" x14ac:dyDescent="0.25">
      <c r="A23" s="47" t="s">
        <v>166</v>
      </c>
      <c r="B23" s="46">
        <f t="shared" si="0"/>
        <v>18</v>
      </c>
      <c r="C23" s="30">
        <f>SUM(C18:C22)</f>
        <v>0</v>
      </c>
    </row>
    <row r="24" ht="21" customHeight="1" spans="1:3" x14ac:dyDescent="0.25">
      <c r="A24" s="31" t="s">
        <v>167</v>
      </c>
      <c r="B24" s="46">
        <f t="shared" si="0"/>
        <v>19</v>
      </c>
      <c r="C24" s="30">
        <f>0</f>
        <v>0</v>
      </c>
    </row>
    <row r="25" ht="21" customHeight="1" spans="1:3" x14ac:dyDescent="0.25">
      <c r="A25" s="31" t="s">
        <v>168</v>
      </c>
      <c r="B25" s="46">
        <f t="shared" si="0"/>
        <v>20</v>
      </c>
      <c r="C25" s="30">
        <f>0</f>
        <v>0</v>
      </c>
    </row>
    <row r="26" ht="21" customHeight="1" spans="1:3" x14ac:dyDescent="0.25">
      <c r="A26" s="48" t="s">
        <v>169</v>
      </c>
      <c r="B26" s="46">
        <f t="shared" si="0"/>
        <v>21</v>
      </c>
      <c r="C26" s="30">
        <f>0</f>
        <v>0</v>
      </c>
    </row>
    <row r="27" ht="21" customHeight="1" spans="1:3" x14ac:dyDescent="0.25">
      <c r="A27" s="31" t="s">
        <v>59</v>
      </c>
      <c r="B27" s="46">
        <f t="shared" si="0"/>
        <v>22</v>
      </c>
      <c r="C27" s="30">
        <f>0</f>
        <v>0</v>
      </c>
    </row>
    <row r="28" ht="21" customHeight="1" spans="1:3" x14ac:dyDescent="0.25">
      <c r="A28" s="47" t="s">
        <v>170</v>
      </c>
      <c r="B28" s="46">
        <f t="shared" si="0"/>
        <v>23</v>
      </c>
      <c r="C28" s="30">
        <f>SUM(C24:C27)</f>
        <v>0</v>
      </c>
    </row>
    <row r="29" ht="21" customHeight="1" spans="1:3" x14ac:dyDescent="0.25">
      <c r="A29" s="36" t="s">
        <v>171</v>
      </c>
      <c r="B29" s="46">
        <f t="shared" si="0"/>
        <v>24</v>
      </c>
      <c r="C29" s="30">
        <f>C23-C28</f>
        <v>0</v>
      </c>
    </row>
    <row r="30" ht="21" customHeight="1" spans="1:3" x14ac:dyDescent="0.25">
      <c r="A30" s="15" t="s">
        <v>64</v>
      </c>
      <c r="B30" s="46">
        <f t="shared" si="0"/>
        <v>25</v>
      </c>
      <c r="C30" s="30"/>
    </row>
    <row r="31" ht="21" customHeight="1" spans="1:3" x14ac:dyDescent="0.25">
      <c r="A31" s="31" t="s">
        <v>172</v>
      </c>
      <c r="B31" s="46">
        <f t="shared" si="0"/>
        <v>26</v>
      </c>
      <c r="C31" s="30">
        <f>0</f>
        <v>0</v>
      </c>
    </row>
    <row r="32" ht="21" customHeight="1" spans="1:3" x14ac:dyDescent="0.25">
      <c r="A32" s="31" t="s">
        <v>173</v>
      </c>
      <c r="B32" s="46">
        <f t="shared" si="0"/>
        <v>27</v>
      </c>
      <c r="C32" s="30">
        <f>0</f>
        <v>0</v>
      </c>
    </row>
    <row r="33" ht="21" customHeight="1" spans="1:3" x14ac:dyDescent="0.25">
      <c r="A33" s="31" t="s">
        <v>71</v>
      </c>
      <c r="B33" s="46">
        <f t="shared" si="0"/>
        <v>28</v>
      </c>
      <c r="C33" s="30">
        <f>0</f>
        <v>0</v>
      </c>
    </row>
    <row r="34" ht="21" customHeight="1" spans="1:3" x14ac:dyDescent="0.25">
      <c r="A34" s="47" t="s">
        <v>174</v>
      </c>
      <c r="B34" s="46">
        <f t="shared" si="0"/>
        <v>29</v>
      </c>
      <c r="C34" s="30">
        <f>SUM(C31:C33)</f>
        <v>0</v>
      </c>
    </row>
    <row r="35" ht="21" customHeight="1" spans="1:3" x14ac:dyDescent="0.25">
      <c r="A35" s="31" t="s">
        <v>175</v>
      </c>
      <c r="B35" s="46">
        <f t="shared" si="0"/>
        <v>30</v>
      </c>
      <c r="C35" s="30">
        <f>0</f>
        <v>0</v>
      </c>
    </row>
    <row r="36" ht="21" customHeight="1" spans="1:3" x14ac:dyDescent="0.25">
      <c r="A36" s="31" t="s">
        <v>176</v>
      </c>
      <c r="B36" s="46">
        <f t="shared" si="0"/>
        <v>31</v>
      </c>
      <c r="C36" s="30">
        <f>0</f>
        <v>0</v>
      </c>
    </row>
    <row r="37" ht="21" customHeight="1" spans="1:3" x14ac:dyDescent="0.25">
      <c r="A37" s="31" t="s">
        <v>81</v>
      </c>
      <c r="B37" s="46">
        <f t="shared" si="0"/>
        <v>32</v>
      </c>
      <c r="C37" s="30">
        <f>0</f>
        <v>0</v>
      </c>
    </row>
    <row r="38" ht="21" customHeight="1" spans="1:3" x14ac:dyDescent="0.25">
      <c r="A38" s="47" t="s">
        <v>177</v>
      </c>
      <c r="B38" s="46">
        <f t="shared" si="0"/>
        <v>33</v>
      </c>
      <c r="C38" s="30">
        <f>SUM(C35:C37)</f>
        <v>0</v>
      </c>
    </row>
    <row r="39" ht="21" customHeight="1" spans="1:3" x14ac:dyDescent="0.25">
      <c r="A39" s="36" t="s">
        <v>178</v>
      </c>
      <c r="B39" s="46">
        <f t="shared" si="0"/>
        <v>34</v>
      </c>
      <c r="C39" s="30">
        <f>C34-C38</f>
        <v>0</v>
      </c>
    </row>
    <row r="40" ht="21" customHeight="1" spans="1:3" x14ac:dyDescent="0.25">
      <c r="A40" s="36" t="s">
        <v>179</v>
      </c>
      <c r="B40" s="46">
        <f t="shared" si="0"/>
        <v>35</v>
      </c>
      <c r="C40" s="30">
        <f>0</f>
        <v>0</v>
      </c>
    </row>
    <row r="41" ht="21" customHeight="1" spans="1:3" x14ac:dyDescent="0.25">
      <c r="A41" s="36" t="s">
        <v>180</v>
      </c>
      <c r="B41" s="46">
        <f t="shared" si="0"/>
        <v>36</v>
      </c>
      <c r="C41" s="30">
        <f>C16+C29+C39+C40</f>
        <v>0</v>
      </c>
    </row>
    <row r="42" ht="21" customHeight="1" spans="1:3" x14ac:dyDescent="0.25">
      <c r="A42" s="36" t="s">
        <v>181</v>
      </c>
      <c r="B42" s="46">
        <f t="shared" si="0"/>
        <v>37</v>
      </c>
      <c r="C42" s="32">
        <f>0</f>
        <v>0</v>
      </c>
    </row>
    <row r="43" ht="21" customHeight="1" spans="1:3" x14ac:dyDescent="0.25">
      <c r="A43" s="49" t="s">
        <v>182</v>
      </c>
      <c r="B43" s="46">
        <f t="shared" si="0"/>
        <v>38</v>
      </c>
      <c r="C43" s="30">
        <f>0</f>
        <v>0</v>
      </c>
    </row>
    <row r="44" ht="21" customHeight="1" spans="1:3" x14ac:dyDescent="0.25">
      <c r="A44" s="50"/>
      <c r="B44" s="50"/>
      <c r="C44" s="39"/>
    </row>
    <row r="45" ht="21" customHeight="1" spans="1:3" x14ac:dyDescent="0.25">
      <c r="A45" s="42" t="s">
        <v>183</v>
      </c>
      <c r="B45" s="51" t="s">
        <v>184</v>
      </c>
      <c r="C45" s="43" t="s">
        <v>185</v>
      </c>
    </row>
    <row r="46" ht="21" customHeight="1" spans="1:3" x14ac:dyDescent="0.25">
      <c r="A46" s="44" t="s">
        <v>186</v>
      </c>
      <c r="B46" s="29">
        <f>B43+1</f>
        <v>39</v>
      </c>
      <c r="C46" s="30"/>
    </row>
    <row r="47" ht="21" customHeight="1" spans="1:3" x14ac:dyDescent="0.25">
      <c r="A47" s="52" t="s">
        <v>187</v>
      </c>
      <c r="B47" s="29">
        <f t="shared" ref="B47:B74" si="1">B46+1</f>
        <v>40</v>
      </c>
      <c r="C47" s="30">
        <f>292967.56</f>
        <v>292967.56</v>
      </c>
    </row>
    <row r="48" ht="21" customHeight="1" spans="1:3" x14ac:dyDescent="0.25">
      <c r="A48" s="31" t="s">
        <v>188</v>
      </c>
      <c r="B48" s="29">
        <f t="shared" si="1"/>
        <v>41</v>
      </c>
      <c r="C48" s="30">
        <f>0</f>
        <v>0</v>
      </c>
    </row>
    <row r="49" ht="21" customHeight="1" spans="1:3" x14ac:dyDescent="0.25">
      <c r="A49" s="31" t="s">
        <v>189</v>
      </c>
      <c r="B49" s="29">
        <f t="shared" si="1"/>
        <v>42</v>
      </c>
      <c r="C49" s="30">
        <f>0</f>
        <v>0</v>
      </c>
    </row>
    <row r="50" ht="21" customHeight="1" spans="1:3" x14ac:dyDescent="0.25">
      <c r="A50" s="31" t="s">
        <v>113</v>
      </c>
      <c r="B50" s="29">
        <f t="shared" si="1"/>
        <v>43</v>
      </c>
      <c r="C50" s="30">
        <f>0</f>
        <v>0</v>
      </c>
    </row>
    <row r="51" ht="21" customHeight="1" spans="1:3" x14ac:dyDescent="0.25">
      <c r="A51" s="31" t="s">
        <v>115</v>
      </c>
      <c r="B51" s="29">
        <f t="shared" si="1"/>
        <v>44</v>
      </c>
      <c r="C51" s="30">
        <f>0</f>
        <v>0</v>
      </c>
    </row>
    <row r="52" ht="21" customHeight="1" spans="1:3" x14ac:dyDescent="0.25">
      <c r="A52" s="31" t="s">
        <v>117</v>
      </c>
      <c r="B52" s="29">
        <f t="shared" si="1"/>
        <v>45</v>
      </c>
      <c r="C52" s="30"/>
    </row>
    <row r="53" ht="21" customHeight="1" spans="1:3" x14ac:dyDescent="0.25">
      <c r="A53" s="31" t="s">
        <v>118</v>
      </c>
      <c r="B53" s="29">
        <f t="shared" si="1"/>
        <v>46</v>
      </c>
      <c r="C53" s="30"/>
    </row>
    <row r="54" ht="21" customHeight="1" spans="1:3" x14ac:dyDescent="0.25">
      <c r="A54" s="31" t="s">
        <v>119</v>
      </c>
      <c r="B54" s="29">
        <f t="shared" si="1"/>
        <v>47</v>
      </c>
      <c r="C54" s="30"/>
    </row>
    <row r="55" ht="21" customHeight="1" spans="1:3" x14ac:dyDescent="0.25">
      <c r="A55" s="31" t="s">
        <v>120</v>
      </c>
      <c r="B55" s="29">
        <f t="shared" si="1"/>
        <v>48</v>
      </c>
      <c r="C55" s="30"/>
    </row>
    <row r="56" ht="21" customHeight="1" spans="1:3" x14ac:dyDescent="0.25">
      <c r="A56" s="31" t="s">
        <v>121</v>
      </c>
      <c r="B56" s="29">
        <f t="shared" si="1"/>
        <v>49</v>
      </c>
      <c r="C56" s="32">
        <f>150</f>
        <v>150</v>
      </c>
    </row>
    <row r="57" ht="21" customHeight="1" spans="1:3" x14ac:dyDescent="0.25">
      <c r="A57" s="31" t="s">
        <v>123</v>
      </c>
      <c r="B57" s="29">
        <f t="shared" si="1"/>
        <v>50</v>
      </c>
      <c r="C57" s="33">
        <f>0</f>
        <v>0</v>
      </c>
    </row>
    <row r="58" ht="21" customHeight="1" spans="1:3" x14ac:dyDescent="0.25">
      <c r="A58" s="31" t="s">
        <v>190</v>
      </c>
      <c r="B58" s="29">
        <f t="shared" si="1"/>
        <v>51</v>
      </c>
      <c r="C58" s="34">
        <f>0</f>
        <v>0</v>
      </c>
    </row>
    <row r="59" ht="21" customHeight="1" spans="1:3" x14ac:dyDescent="0.25">
      <c r="A59" s="31" t="s">
        <v>191</v>
      </c>
      <c r="B59" s="29">
        <f t="shared" si="1"/>
        <v>52</v>
      </c>
      <c r="C59" s="34"/>
    </row>
    <row r="60" ht="21" customHeight="1" spans="1:3" x14ac:dyDescent="0.25">
      <c r="A60" s="31" t="s">
        <v>127</v>
      </c>
      <c r="B60" s="29">
        <f t="shared" si="1"/>
        <v>53</v>
      </c>
      <c r="C60" s="30">
        <f>0</f>
        <v>0</v>
      </c>
    </row>
    <row r="61" ht="21" customHeight="1" spans="1:3" x14ac:dyDescent="0.25">
      <c r="A61" s="31" t="s">
        <v>129</v>
      </c>
      <c r="B61" s="29">
        <f t="shared" si="1"/>
        <v>54</v>
      </c>
      <c r="C61" s="30">
        <f>0</f>
        <v>0</v>
      </c>
    </row>
    <row r="62" ht="21" customHeight="1" spans="1:3" x14ac:dyDescent="0.25">
      <c r="A62" s="35" t="s">
        <v>131</v>
      </c>
      <c r="B62" s="29">
        <f t="shared" si="1"/>
        <v>55</v>
      </c>
      <c r="C62" s="30">
        <f>0</f>
        <v>0</v>
      </c>
    </row>
    <row r="63" ht="21" customHeight="1" spans="1:3" x14ac:dyDescent="0.25">
      <c r="A63" s="35" t="s">
        <v>133</v>
      </c>
      <c r="B63" s="29">
        <f t="shared" si="1"/>
        <v>56</v>
      </c>
      <c r="C63" s="30">
        <f>C16-C47-C48-C49-C50-C52-C51-C53-C54-C55-C56-C57-C58-C60-C61-C62</f>
        <v>-293117.56</v>
      </c>
    </row>
    <row r="64" ht="21" customHeight="1" spans="1:3" x14ac:dyDescent="0.25">
      <c r="A64" s="36" t="s">
        <v>134</v>
      </c>
      <c r="B64" s="29">
        <f t="shared" si="1"/>
        <v>57</v>
      </c>
      <c r="C64" s="30">
        <f>C47+C48+C49+C50+C51+C52+C53+C54+C55+C56+C57+C58+C60+C61+C62+C63</f>
        <v>0</v>
      </c>
    </row>
    <row r="65" ht="21" customHeight="1" spans="1:3" x14ac:dyDescent="0.25">
      <c r="A65" s="37" t="s">
        <v>135</v>
      </c>
      <c r="B65" s="29">
        <f t="shared" si="1"/>
        <v>58</v>
      </c>
      <c r="C65" s="30"/>
    </row>
    <row r="66" ht="21" customHeight="1" spans="1:3" x14ac:dyDescent="0.25">
      <c r="A66" s="31" t="s">
        <v>136</v>
      </c>
      <c r="B66" s="29">
        <f t="shared" si="1"/>
        <v>59</v>
      </c>
      <c r="C66" s="30"/>
    </row>
    <row r="67" ht="21" customHeight="1" spans="1:3" x14ac:dyDescent="0.25">
      <c r="A67" s="31" t="s">
        <v>137</v>
      </c>
      <c r="B67" s="29">
        <f t="shared" si="1"/>
        <v>60</v>
      </c>
      <c r="C67" s="30"/>
    </row>
    <row r="68" ht="21" customHeight="1" spans="1:3" x14ac:dyDescent="0.25">
      <c r="A68" s="31" t="s">
        <v>138</v>
      </c>
      <c r="B68" s="29">
        <f t="shared" si="1"/>
        <v>61</v>
      </c>
      <c r="C68" s="30"/>
    </row>
    <row r="69" ht="21" customHeight="1" spans="1:3" x14ac:dyDescent="0.25">
      <c r="A69" s="37" t="s">
        <v>139</v>
      </c>
      <c r="B69" s="29">
        <f t="shared" si="1"/>
        <v>62</v>
      </c>
      <c r="C69" s="30"/>
    </row>
    <row r="70" ht="21" customHeight="1" spans="1:3" x14ac:dyDescent="0.25">
      <c r="A70" s="31" t="s">
        <v>140</v>
      </c>
      <c r="B70" s="29">
        <f t="shared" si="1"/>
        <v>63</v>
      </c>
      <c r="C70" s="30">
        <f>0</f>
        <v>0</v>
      </c>
    </row>
    <row r="71" ht="21" customHeight="1" spans="1:3" x14ac:dyDescent="0.25">
      <c r="A71" s="31" t="s">
        <v>142</v>
      </c>
      <c r="B71" s="29">
        <f t="shared" si="1"/>
        <v>64</v>
      </c>
      <c r="C71" s="30">
        <f>0</f>
        <v>0</v>
      </c>
    </row>
    <row r="72" ht="21" customHeight="1" spans="1:3" x14ac:dyDescent="0.25">
      <c r="A72" s="31" t="s">
        <v>144</v>
      </c>
      <c r="B72" s="29">
        <f t="shared" si="1"/>
        <v>65</v>
      </c>
      <c r="C72" s="30">
        <f>0</f>
        <v>0</v>
      </c>
    </row>
    <row r="73" ht="21" customHeight="1" spans="1:3" x14ac:dyDescent="0.25">
      <c r="A73" s="35" t="s">
        <v>145</v>
      </c>
      <c r="B73" s="29">
        <f t="shared" si="1"/>
        <v>66</v>
      </c>
      <c r="C73" s="30">
        <f>0</f>
        <v>0</v>
      </c>
    </row>
    <row r="74" ht="21" customHeight="1" spans="1:3" x14ac:dyDescent="0.25">
      <c r="A74" s="36" t="s">
        <v>146</v>
      </c>
      <c r="B74" s="29">
        <f t="shared" si="1"/>
        <v>67</v>
      </c>
      <c r="C74" s="30">
        <f>C70-C71+C72-C73</f>
        <v>0</v>
      </c>
    </row>
    <row r="75" ht="21" customHeight="1" spans="1:3" x14ac:dyDescent="0.25">
      <c r="A75" s="38" t="s">
        <v>147</v>
      </c>
      <c r="B75" s="26"/>
      <c r="C75" s="27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现金流量表(定义)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2026-05-19T09:23:38Z</dcterms:created>
  <dcterms:modified xsi:type="dcterms:W3CDTF">2026-05-19T09:23:45Z</dcterms:modified>
</cp:coreProperties>
</file>