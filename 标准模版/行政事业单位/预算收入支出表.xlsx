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showSheetTabs="0" windowHeight="17655"/>
  </bookViews>
  <sheets>
    <sheet name="工会事业单位收入支出表(定义)" sheetId="1" r:id="rId1"/>
    <sheet name="Sheet2" sheetId="2" r:id="rId2"/>
    <sheet name="Sheet3" sheetId="3" r:id="rId3"/>
  </sheets>
  <definedNames>
    <definedName name="_xlnm.Print_Area">#N/A</definedName>
    <definedName name="_xlnm.Print_Area" localSheetId="0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<sst xmlns="http://schemas.openxmlformats.org/spreadsheetml/2006/main" count="339" uniqueCount="159">
  <si>
    <t>预算收入支出表</t>
  </si>
  <si>
    <t>%YH%MH%DH</t>
  </si>
  <si>
    <t>会政预01表</t>
  </si>
  <si>
    <t xml:space="preserve">编制单位:%U      </t>
  </si>
  <si>
    <t xml:space="preserve">                   单位:元</t>
  </si>
  <si>
    <t xml:space="preserve">项 目 </t>
  </si>
  <si>
    <t xml:space="preserve">本年数 </t>
  </si>
  <si>
    <t xml:space="preserve">上年数 </t>
  </si>
  <si>
    <t>一、本年预算收入</t>
  </si>
  <si>
    <t xml:space="preserve">（一）财政拨款预算收入 </t>
  </si>
  <si>
    <t>@jqy(6001,01,99)</t>
  </si>
  <si>
    <t>@jqy(6001,101,199)</t>
  </si>
  <si>
    <t xml:space="preserve">      其中：政府性基金收入</t>
  </si>
  <si>
    <t>@jqy(600104,01,99)</t>
  </si>
  <si>
    <t>@jqy(600104,101,199)</t>
  </si>
  <si>
    <t xml:space="preserve">（二）事业预算收入 </t>
  </si>
  <si>
    <t>@jqy(6101,01,99)</t>
  </si>
  <si>
    <t>@jqy(6101,101,199)</t>
  </si>
  <si>
    <t xml:space="preserve">（三）上级补助预算收入 </t>
  </si>
  <si>
    <t>@jqy(6201,01,99)</t>
  </si>
  <si>
    <t>@jqy(6201,101,199)</t>
  </si>
  <si>
    <t xml:space="preserve">（四）附属单位上缴预算收入 </t>
  </si>
  <si>
    <t>@jqy(6301,01,99)</t>
  </si>
  <si>
    <t>@jqy(6301,101,199)</t>
  </si>
  <si>
    <t xml:space="preserve">（五）经营预算收入 </t>
  </si>
  <si>
    <t>@jqy(6401,01,99)</t>
  </si>
  <si>
    <t>@jqy(6401,101,199)</t>
  </si>
  <si>
    <t xml:space="preserve">（六）债务预算收入 </t>
  </si>
  <si>
    <t>@jqy(6501,01,99)</t>
  </si>
  <si>
    <t>@jqy(6501,101,199)</t>
  </si>
  <si>
    <t xml:space="preserve">（七）非同级财政拨款预算收入 </t>
  </si>
  <si>
    <t>@jqy(6601,01,99)</t>
  </si>
  <si>
    <t>@jqy(6601,101,199)</t>
  </si>
  <si>
    <t xml:space="preserve">（八）投资预算收益 </t>
  </si>
  <si>
    <t>@jqy(6602,01,99)</t>
  </si>
  <si>
    <t>@jqy(6602,101,199)</t>
  </si>
  <si>
    <t xml:space="preserve">（九）其他预算收入 </t>
  </si>
  <si>
    <t>@jqy(6609,01,99)</t>
  </si>
  <si>
    <t>@jqy(6609,101,199)</t>
  </si>
  <si>
    <t xml:space="preserve">      其中：利息预算收入</t>
  </si>
  <si>
    <t>@jqy(660902,01,99)</t>
  </si>
  <si>
    <t>@jqy(660902,101,199)</t>
  </si>
  <si>
    <t xml:space="preserve">            捐赠预算收入</t>
  </si>
  <si>
    <t>@jqy(660901,01,99)</t>
  </si>
  <si>
    <t>@jqy(660901,101,199)</t>
  </si>
  <si>
    <t xml:space="preserve">            租金预算收入</t>
  </si>
  <si>
    <t>@jqy(660903,01,99)</t>
  </si>
  <si>
    <t>@jqy(660903,101,199)</t>
  </si>
  <si>
    <t>二、本年预算支出</t>
  </si>
  <si>
    <t>（一）行政支出</t>
  </si>
  <si>
    <t>@jqy(7101,01,99)</t>
  </si>
  <si>
    <t>@jqy(7101,101,199)</t>
  </si>
  <si>
    <t>（二）事业支出</t>
  </si>
  <si>
    <t>@jqy(7201,01,99)</t>
  </si>
  <si>
    <t>@jqy(7201,101,199)</t>
  </si>
  <si>
    <t>（三）经营支出</t>
  </si>
  <si>
    <t>@jqy(7301,01,99)</t>
  </si>
  <si>
    <t>@jqy(7301,101,199)</t>
  </si>
  <si>
    <t>（四）上缴上级支出</t>
  </si>
  <si>
    <t>@jqy(7401,01,99)</t>
  </si>
  <si>
    <t>@jqy(7401,101,199)</t>
  </si>
  <si>
    <t>（五）对附属单位补助支出</t>
  </si>
  <si>
    <t>@jqy(7501,01,99)</t>
  </si>
  <si>
    <t>@jqy(7501,101,199)</t>
  </si>
  <si>
    <t>（六）投资支出</t>
  </si>
  <si>
    <t>@jqy(7601,01,99)</t>
  </si>
  <si>
    <t>@jqy(7601,101,199)</t>
  </si>
  <si>
    <t>（七）债务还本支出</t>
  </si>
  <si>
    <t>@jqy(7701,01,99)</t>
  </si>
  <si>
    <t>@jqy(7701,101,199)</t>
  </si>
  <si>
    <t>（八）其他支出</t>
  </si>
  <si>
    <t>@jqy(7901,01,99)</t>
  </si>
  <si>
    <t>@jqy(7901,101,199)</t>
  </si>
  <si>
    <t xml:space="preserve">      其中：利息支出</t>
  </si>
  <si>
    <t>@jqy(790101,01,99)</t>
  </si>
  <si>
    <t>@jqy(790101,101,199)</t>
  </si>
  <si>
    <t xml:space="preserve">            捐赠支出</t>
  </si>
  <si>
    <t>@jqy(790102,01,99)</t>
  </si>
  <si>
    <t>@jqy(790102,101,199)</t>
  </si>
  <si>
    <t>三、本期预算收支差额</t>
  </si>
  <si>
    <t>单位负责人：</t>
  </si>
  <si>
    <t>财务负责人：</t>
  </si>
  <si>
    <t xml:space="preserve"> 制表：</t>
  </si>
  <si>
    <t>会事业02表</t>
  </si>
  <si>
    <t xml:space="preserve">     单位:元</t>
  </si>
  <si>
    <t>单位:元</t>
  </si>
  <si>
    <t>本年累计数</t>
  </si>
  <si>
    <t>编</t>
  </si>
  <si>
    <t>支    出</t>
  </si>
  <si>
    <t>结    余</t>
  </si>
  <si>
    <t>号</t>
  </si>
  <si>
    <t>项    目</t>
  </si>
  <si>
    <t>本期发生额</t>
  </si>
  <si>
    <t>累计发生额</t>
  </si>
  <si>
    <t>@jqy(4001,01,99)</t>
  </si>
  <si>
    <t>拨出经费</t>
  </si>
  <si>
    <t>@JQY(501,99,99)</t>
  </si>
  <si>
    <t>@JQY(501,1,99)</t>
  </si>
  <si>
    <t>事业结余</t>
  </si>
  <si>
    <t>ÀÛ¼ÆÍê³ÉÊý</t>
  </si>
  <si>
    <t>@jqy(4101,01,99)</t>
  </si>
  <si>
    <t>上缴上级支出</t>
  </si>
  <si>
    <t>@JQY(516,99,99)</t>
  </si>
  <si>
    <t>@JQY(516,1,99)</t>
  </si>
  <si>
    <t>1.正常收支结余</t>
  </si>
  <si>
    <t>@jqy(4201,01,99)</t>
  </si>
  <si>
    <t>对附属单位补助</t>
  </si>
  <si>
    <t>@JQY(517,99,99)</t>
  </si>
  <si>
    <t>@JQY(517,1,99)</t>
  </si>
  <si>
    <t>2.收回以前年度</t>
  </si>
  <si>
    <t>@jqy(4202,01,99)</t>
  </si>
  <si>
    <t>事业支出</t>
  </si>
  <si>
    <t>@JQY(504,99,99)</t>
  </si>
  <si>
    <t>@JQY(504,1,99)</t>
  </si>
  <si>
    <t>@jqy(4401,01,99)</t>
  </si>
  <si>
    <t>结转自筹基建</t>
  </si>
  <si>
    <t>@JQY(520,99,99)</t>
  </si>
  <si>
    <t>@JQY(520,1,99)</t>
  </si>
  <si>
    <t>@jqy(5001,01,99)</t>
  </si>
  <si>
    <t>小  计</t>
  </si>
  <si>
    <t>@jqy(5101,01,99)</t>
  </si>
  <si>
    <t>经营支出</t>
  </si>
  <si>
    <t>@JQY(505,99,99)</t>
  </si>
  <si>
    <t>@JQY(505,1,99)</t>
  </si>
  <si>
    <t>经营结余</t>
  </si>
  <si>
    <t>@jqy(5102,01,99)</t>
  </si>
  <si>
    <t>销售税金</t>
  </si>
  <si>
    <t>@JQY(512,99,99)</t>
  </si>
  <si>
    <t>@JQY(512,1,99)</t>
  </si>
  <si>
    <t>减(-)以前年度</t>
  </si>
  <si>
    <t>@jqy(530101,01,99)</t>
  </si>
  <si>
    <t xml:space="preserve"> </t>
  </si>
  <si>
    <t>拨出专款</t>
  </si>
  <si>
    <t>@JQY(502,99,99)</t>
  </si>
  <si>
    <t>@JQY(502,1,99)</t>
  </si>
  <si>
    <t>结余分配</t>
  </si>
  <si>
    <t>专款支出</t>
  </si>
  <si>
    <t>@JQY(503,99,99)</t>
  </si>
  <si>
    <t>@JQY(503,1,99)</t>
  </si>
  <si>
    <t>1.应交所得税</t>
  </si>
  <si>
    <t>2.提取专用基金</t>
  </si>
  <si>
    <t>@jqy(4301,01,99)</t>
  </si>
  <si>
    <t>3.转入事业基金</t>
  </si>
  <si>
    <t>@jqy(5201,01,99)</t>
  </si>
  <si>
    <t>4.其他</t>
  </si>
  <si>
    <t>@jqy(530102,01,99)</t>
  </si>
  <si>
    <t>总    计</t>
  </si>
  <si>
    <t>@ye(3301,99)</t>
  </si>
  <si>
    <t>@ye(3104,99)</t>
  </si>
  <si>
    <t>财务负责人:</t>
  </si>
  <si>
    <t>制表:</t>
  </si>
  <si>
    <t>@ye(3102,99)</t>
  </si>
  <si>
    <t>@ye(3001,99)</t>
  </si>
  <si>
    <t>合    计</t>
  </si>
  <si>
    <t>2017年11月16日</t>
  </si>
  <si>
    <t>会政财05表</t>
  </si>
  <si>
    <t>2009年04月14日</t>
  </si>
  <si>
    <t xml:space="preserve">编制单位:深圳市润衡财经软件有限公司      </t>
  </si>
  <si>
    <t xml:space="preserve">（八）捐赠收入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</si>
</sst>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#,##0.00_);[Red]\(#,##0.00\)"/>
    <numFmt numFmtId="177" formatCode="#,##0.00&quot;￥&quot;;[Red]\-#,##0.00&quot;￥&quot;"/>
    <numFmt numFmtId="178" formatCode="#,##0_);[Red]\(#,##0\)"/>
    <numFmt numFmtId="179" formatCode="#,##0&quot;￥&quot;;[Red]\-#,##0&quot;￥&quot;"/>
    <numFmt numFmtId="180" formatCode="#,##0.00;\-#,##0.00;#"/>
  </numFmts>
  <fonts count="37">
    <font>
      <sz val="12"/>
      <color indexed="8"/>
      <name val="Arial"/>
      <charset val="0"/>
    </font>
    <font>
      <b/>
      <sz val="24"/>
      <name val="宋体"/>
      <charset val="134"/>
    </font>
    <font>
      <sz val="12"/>
      <name val="宋体"/>
      <charset val="134"/>
    </font>
    <font>
      <b/>
      <sz val="16"/>
      <name val="宋体"/>
      <charset val="134"/>
    </font>
    <font>
      <sz val="15"/>
      <name val="Arial"/>
      <charset val="0"/>
    </font>
    <font>
      <sz val="10"/>
      <name val="宋体"/>
      <charset val="134"/>
    </font>
    <font>
      <sz val="11"/>
      <name val="宋体"/>
      <charset val="134"/>
    </font>
    <font>
      <b/>
      <sz val="12"/>
      <name val="宋体"/>
      <charset val="134"/>
    </font>
    <font>
      <b/>
      <sz val="11"/>
      <name val="宋体"/>
      <charset val="134"/>
    </font>
    <font>
      <sz val="9"/>
      <name val="宋体"/>
      <charset val="0"/>
    </font>
    <font>
      <sz val="9"/>
      <name val="Arial"/>
      <charset val="0"/>
    </font>
    <font>
      <b/>
      <sz val="10"/>
      <name val="宋体"/>
      <charset val="134"/>
    </font>
    <font>
      <sz val="12"/>
      <color indexed="8"/>
      <name val="宋体"/>
      <charset val="134"/>
    </font>
    <font>
      <sz val="12"/>
      <name val="仿宋"/>
      <charset val="134"/>
    </font>
    <font>
      <b/>
      <sz val="12"/>
      <name val="仿宋"/>
      <charset val="134"/>
    </font>
    <font>
      <sz val="12"/>
      <name val="仿宋"/>
      <charset val="0"/>
    </font>
    <font>
      <sz val="10"/>
      <color indexed="8"/>
      <name val="MS Sans Serif"/>
      <charset val="0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6" fillId="0" borderId="0" applyFont="0" applyFill="0" applyProtection="0"/>
    <xf numFmtId="177" fontId="16" fillId="0" borderId="0" applyFont="0" applyFill="0" applyProtection="0"/>
    <xf numFmtId="9" fontId="16" fillId="0" borderId="0" applyFont="0" applyFill="0" applyProtection="0"/>
    <xf numFmtId="178" fontId="16" fillId="0" borderId="0" applyFont="0" applyFill="0" applyProtection="0"/>
    <xf numFmtId="179" fontId="16" fillId="0" borderId="0" applyFont="0" applyFill="0" applyProtection="0"/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2" borderId="18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0" borderId="19" applyNumberFormat="0" applyFill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3" borderId="21" applyNumberFormat="0" applyAlignment="0" applyProtection="0">
      <alignment vertical="center"/>
    </xf>
    <xf numFmtId="0" fontId="27" fillId="4" borderId="22" applyNumberFormat="0" applyAlignment="0" applyProtection="0">
      <alignment vertical="center"/>
    </xf>
    <xf numFmtId="0" fontId="28" fillId="4" borderId="21" applyNumberFormat="0" applyAlignment="0" applyProtection="0">
      <alignment vertical="center"/>
    </xf>
    <xf numFmtId="0" fontId="29" fillId="5" borderId="23" applyNumberFormat="0" applyAlignment="0" applyProtection="0">
      <alignment vertical="center"/>
    </xf>
    <xf numFmtId="0" fontId="30" fillId="0" borderId="24" applyNumberFormat="0" applyFill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2" fillId="6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8" borderId="0" applyNumberFormat="0" applyBorder="0" applyAlignment="0" applyProtection="0">
      <alignment vertical="center"/>
    </xf>
    <xf numFmtId="0" fontId="35" fillId="9" borderId="0" applyNumberFormat="0" applyBorder="0" applyAlignment="0" applyProtection="0">
      <alignment vertical="center"/>
    </xf>
    <xf numFmtId="0" fontId="36" fillId="10" borderId="0" applyNumberFormat="0" applyBorder="0" applyAlignment="0" applyProtection="0">
      <alignment vertical="center"/>
    </xf>
    <xf numFmtId="0" fontId="36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6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6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</cellStyleXfs>
  <cellXfs count="65">
    <xf numFmtId="0" fontId="0" fillId="0" borderId="0" xfId="0"/>
    <xf numFmtId="0" fontId="1" fillId="0" borderId="0" xfId="0" applyNumberFormat="1" applyFont="1" applyFill="1" applyAlignment="1" applyProtection="1">
      <alignment horizontal="centerContinuous" vertical="center"/>
    </xf>
    <xf numFmtId="0" fontId="2" fillId="0" borderId="0" xfId="0" applyNumberFormat="1" applyFont="1" applyFill="1" applyAlignment="1" applyProtection="1">
      <alignment horizontal="centerContinuous" vertical="center"/>
    </xf>
    <xf numFmtId="0" fontId="3" fillId="0" borderId="0" xfId="0" applyNumberFormat="1" applyFont="1" applyFill="1" applyAlignment="1" applyProtection="1">
      <alignment horizontal="centerContinuous" vertical="center"/>
    </xf>
    <xf numFmtId="0" fontId="4" fillId="0" borderId="0" xfId="0" applyFont="1" applyBorder="1" applyAlignment="1">
      <alignment horizontal="centerContinuous"/>
    </xf>
    <xf numFmtId="0" fontId="2" fillId="0" borderId="0" xfId="0" applyNumberFormat="1" applyFont="1" applyFill="1" applyAlignment="1" applyProtection="1">
      <alignment horizontal="left" vertical="center"/>
    </xf>
    <xf numFmtId="0" fontId="2" fillId="0" borderId="0" xfId="0" applyNumberFormat="1" applyFont="1" applyFill="1" applyAlignment="1" applyProtection="1">
      <alignment horizontal="right" vertical="center"/>
    </xf>
    <xf numFmtId="0" fontId="5" fillId="0" borderId="0" xfId="0" applyNumberFormat="1" applyFont="1" applyFill="1" applyAlignment="1" applyProtection="1">
      <alignment horizontal="left" vertical="center"/>
    </xf>
    <xf numFmtId="0" fontId="6" fillId="0" borderId="0" xfId="0" applyNumberFormat="1" applyFont="1" applyFill="1" applyAlignment="1" applyProtection="1"/>
    <xf numFmtId="0" fontId="0" fillId="0" borderId="0" xfId="0" applyBorder="1"/>
    <xf numFmtId="0" fontId="2" fillId="0" borderId="0" xfId="0" applyNumberFormat="1" applyFont="1" applyFill="1" applyAlignment="1" applyProtection="1">
      <alignment vertical="center"/>
    </xf>
    <xf numFmtId="0" fontId="7" fillId="0" borderId="1" xfId="0" applyNumberFormat="1" applyFont="1" applyFill="1" applyBorder="1" applyAlignment="1" applyProtection="1">
      <alignment horizontal="center" vertical="center"/>
    </xf>
    <xf numFmtId="0" fontId="8" fillId="0" borderId="2" xfId="0" applyNumberFormat="1" applyFont="1" applyFill="1" applyBorder="1" applyAlignment="1" applyProtection="1">
      <alignment horizontal="centerContinuous" vertical="center"/>
    </xf>
    <xf numFmtId="0" fontId="8" fillId="0" borderId="3" xfId="0" applyNumberFormat="1" applyFont="1" applyFill="1" applyBorder="1" applyAlignment="1" applyProtection="1">
      <alignment horizontal="centerContinuous" vertical="center"/>
    </xf>
    <xf numFmtId="0" fontId="8" fillId="0" borderId="4" xfId="0" applyNumberFormat="1" applyFont="1" applyFill="1" applyBorder="1" applyAlignment="1" applyProtection="1">
      <alignment horizontal="centerContinuous" vertical="center"/>
    </xf>
    <xf numFmtId="0" fontId="5" fillId="0" borderId="5" xfId="0" applyNumberFormat="1" applyFont="1" applyFill="1" applyBorder="1" applyAlignment="1" applyProtection="1">
      <alignment horizontal="centerContinuous" vertical="center"/>
    </xf>
    <xf numFmtId="0" fontId="5" fillId="0" borderId="3" xfId="0" applyNumberFormat="1" applyFont="1" applyFill="1" applyBorder="1" applyAlignment="1" applyProtection="1">
      <alignment horizontal="centerContinuous" vertical="center"/>
    </xf>
    <xf numFmtId="0" fontId="8" fillId="0" borderId="6" xfId="0" applyNumberFormat="1" applyFont="1" applyFill="1" applyBorder="1" applyAlignment="1" applyProtection="1">
      <alignment horizontal="centerContinuous" vertical="center"/>
    </xf>
    <xf numFmtId="0" fontId="7" fillId="0" borderId="2" xfId="0" applyNumberFormat="1" applyFont="1" applyFill="1" applyBorder="1" applyAlignment="1" applyProtection="1">
      <alignment vertical="center"/>
    </xf>
    <xf numFmtId="180" fontId="5" fillId="0" borderId="4" xfId="0" applyNumberFormat="1" applyFont="1" applyFill="1" applyBorder="1" applyAlignment="1" applyProtection="1">
      <alignment horizontal="right" vertical="center"/>
    </xf>
    <xf numFmtId="0" fontId="8" fillId="0" borderId="7" xfId="0" applyNumberFormat="1" applyFont="1" applyFill="1" applyBorder="1" applyAlignment="1" applyProtection="1">
      <alignment horizontal="center" vertical="center"/>
    </xf>
    <xf numFmtId="0" fontId="8" fillId="0" borderId="8" xfId="0" applyNumberFormat="1" applyFont="1" applyFill="1" applyBorder="1" applyAlignment="1" applyProtection="1">
      <alignment horizontal="center" vertical="center"/>
    </xf>
    <xf numFmtId="0" fontId="8" fillId="0" borderId="9" xfId="0" applyNumberFormat="1" applyFont="1" applyFill="1" applyBorder="1" applyAlignment="1" applyProtection="1">
      <alignment horizontal="center" vertical="center"/>
    </xf>
    <xf numFmtId="0" fontId="8" fillId="0" borderId="3" xfId="0" applyNumberFormat="1" applyFont="1" applyFill="1" applyBorder="1" applyAlignment="1" applyProtection="1">
      <alignment horizontal="center" vertical="center"/>
    </xf>
    <xf numFmtId="0" fontId="8" fillId="0" borderId="1" xfId="0" applyNumberFormat="1" applyFont="1" applyFill="1" applyBorder="1" applyAlignment="1" applyProtection="1">
      <alignment horizontal="center" vertical="center"/>
    </xf>
    <xf numFmtId="0" fontId="0" fillId="0" borderId="10" xfId="0" applyBorder="1" applyAlignment="1">
      <alignment horizontal="centerContinuous" vertical="center"/>
    </xf>
    <xf numFmtId="0" fontId="2" fillId="0" borderId="11" xfId="0" applyNumberFormat="1" applyFont="1" applyFill="1" applyBorder="1" applyAlignment="1" applyProtection="1">
      <alignment vertical="center"/>
    </xf>
    <xf numFmtId="0" fontId="5" fillId="0" borderId="12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left" vertical="center"/>
    </xf>
    <xf numFmtId="180" fontId="5" fillId="0" borderId="2" xfId="0" applyNumberFormat="1" applyFont="1" applyFill="1" applyBorder="1" applyAlignment="1" applyProtection="1">
      <alignment horizontal="right" vertical="center"/>
    </xf>
    <xf numFmtId="0" fontId="9" fillId="0" borderId="13" xfId="0" applyFont="1" applyBorder="1" applyAlignment="1">
      <alignment horizontal="center" vertical="center"/>
    </xf>
    <xf numFmtId="0" fontId="2" fillId="0" borderId="3" xfId="0" applyNumberFormat="1" applyFont="1" applyFill="1" applyBorder="1" applyAlignment="1" applyProtection="1">
      <alignment vertical="center"/>
    </xf>
    <xf numFmtId="0" fontId="5" fillId="0" borderId="14" xfId="0" applyNumberFormat="1" applyFont="1" applyFill="1" applyBorder="1" applyAlignment="1" applyProtection="1">
      <alignment horizontal="left" vertical="center"/>
    </xf>
    <xf numFmtId="0" fontId="10" fillId="0" borderId="1" xfId="0" applyFont="1" applyBorder="1"/>
    <xf numFmtId="0" fontId="2" fillId="0" borderId="2" xfId="0" applyNumberFormat="1" applyFont="1" applyFill="1" applyBorder="1" applyAlignment="1" applyProtection="1">
      <alignment vertical="center"/>
    </xf>
    <xf numFmtId="0" fontId="0" fillId="0" borderId="13" xfId="0" applyBorder="1"/>
    <xf numFmtId="0" fontId="5" fillId="0" borderId="15" xfId="0" applyNumberFormat="1" applyFont="1" applyFill="1" applyBorder="1" applyAlignment="1" applyProtection="1">
      <alignment horizontal="left" vertical="center"/>
    </xf>
    <xf numFmtId="0" fontId="0" fillId="0" borderId="16" xfId="0" applyBorder="1"/>
    <xf numFmtId="0" fontId="5" fillId="0" borderId="0" xfId="0" applyNumberFormat="1" applyFont="1" applyFill="1" applyAlignment="1" applyProtection="1">
      <alignment horizontal="center" vertical="center"/>
    </xf>
    <xf numFmtId="0" fontId="11" fillId="0" borderId="2" xfId="0" applyNumberFormat="1" applyFont="1" applyFill="1" applyBorder="1" applyAlignment="1" applyProtection="1">
      <alignment horizontal="center" vertical="center"/>
    </xf>
    <xf numFmtId="0" fontId="5" fillId="0" borderId="5" xfId="0" applyNumberFormat="1" applyFont="1" applyFill="1" applyBorder="1" applyAlignment="1" applyProtection="1">
      <alignment horizontal="center" vertical="center"/>
    </xf>
    <xf numFmtId="0" fontId="11" fillId="0" borderId="3" xfId="0" applyNumberFormat="1" applyFont="1" applyFill="1" applyBorder="1" applyAlignment="1" applyProtection="1">
      <alignment horizontal="center" vertical="center"/>
    </xf>
    <xf numFmtId="0" fontId="0" fillId="0" borderId="17" xfId="0" applyBorder="1"/>
    <xf numFmtId="180" fontId="5" fillId="0" borderId="8" xfId="0" applyNumberFormat="1" applyFont="1" applyFill="1" applyBorder="1" applyAlignment="1" applyProtection="1">
      <alignment horizontal="right" vertical="center"/>
    </xf>
    <xf numFmtId="0" fontId="8" fillId="0" borderId="14" xfId="0" applyNumberFormat="1" applyFont="1" applyFill="1" applyBorder="1" applyAlignment="1" applyProtection="1">
      <alignment horizontal="centerContinuous" vertical="center"/>
    </xf>
    <xf numFmtId="180" fontId="5" fillId="0" borderId="11" xfId="0" applyNumberFormat="1" applyFont="1" applyFill="1" applyBorder="1" applyAlignment="1" applyProtection="1">
      <alignment horizontal="right" vertical="center"/>
    </xf>
    <xf numFmtId="0" fontId="5" fillId="0" borderId="9" xfId="0" applyNumberFormat="1" applyFont="1" applyFill="1" applyBorder="1" applyAlignment="1" applyProtection="1">
      <alignment horizontal="right" vertical="center"/>
    </xf>
    <xf numFmtId="0" fontId="6" fillId="0" borderId="2" xfId="0" applyNumberFormat="1" applyFont="1" applyFill="1" applyBorder="1" applyAlignment="1" applyProtection="1"/>
    <xf numFmtId="0" fontId="5" fillId="0" borderId="0" xfId="0" applyNumberFormat="1" applyFont="1" applyFill="1" applyAlignment="1" applyProtection="1">
      <alignment horizontal="right" vertical="center"/>
    </xf>
    <xf numFmtId="0" fontId="5" fillId="0" borderId="4" xfId="0" applyNumberFormat="1" applyFont="1" applyFill="1" applyBorder="1" applyAlignment="1" applyProtection="1">
      <alignment horizontal="left" vertical="center"/>
    </xf>
    <xf numFmtId="0" fontId="5" fillId="0" borderId="4" xfId="0" applyNumberFormat="1" applyFont="1" applyFill="1" applyBorder="1" applyAlignment="1" applyProtection="1">
      <alignment horizontal="center" vertical="center"/>
    </xf>
    <xf numFmtId="0" fontId="5" fillId="0" borderId="9" xfId="0" applyNumberFormat="1" applyFont="1" applyFill="1" applyBorder="1" applyAlignment="1" applyProtection="1">
      <alignment horizontal="center" vertical="center"/>
    </xf>
    <xf numFmtId="180" fontId="11" fillId="0" borderId="4" xfId="0" applyNumberFormat="1" applyFont="1" applyFill="1" applyBorder="1" applyAlignment="1" applyProtection="1">
      <alignment horizontal="right" vertical="center"/>
    </xf>
    <xf numFmtId="0" fontId="12" fillId="0" borderId="0" xfId="0" applyFont="1"/>
    <xf numFmtId="0" fontId="2" fillId="0" borderId="0" xfId="0" applyNumberFormat="1" applyFont="1" applyFill="1" applyAlignment="1" applyProtection="1"/>
    <xf numFmtId="0" fontId="13" fillId="0" borderId="0" xfId="0" applyNumberFormat="1" applyFont="1" applyFill="1" applyAlignment="1" applyProtection="1">
      <alignment horizontal="centerContinuous" vertical="center"/>
    </xf>
    <xf numFmtId="0" fontId="13" fillId="0" borderId="0" xfId="0" applyNumberFormat="1" applyFont="1" applyFill="1" applyAlignment="1" applyProtection="1">
      <alignment horizontal="right" vertical="center"/>
    </xf>
    <xf numFmtId="0" fontId="14" fillId="0" borderId="1" xfId="0" applyNumberFormat="1" applyFont="1" applyFill="1" applyBorder="1" applyAlignment="1" applyProtection="1">
      <alignment horizontal="center" vertical="center"/>
    </xf>
    <xf numFmtId="180" fontId="13" fillId="0" borderId="4" xfId="0" applyNumberFormat="1" applyFont="1" applyFill="1" applyBorder="1" applyAlignment="1" applyProtection="1"/>
    <xf numFmtId="180" fontId="15" fillId="0" borderId="4" xfId="0" applyNumberFormat="1" applyFont="1" applyFill="1" applyBorder="1" applyAlignment="1" applyProtection="1"/>
    <xf numFmtId="0" fontId="15" fillId="0" borderId="0" xfId="0" applyNumberFormat="1" applyFont="1" applyFill="1" applyAlignment="1" applyProtection="1"/>
    <xf numFmtId="0" fontId="0" fillId="0" borderId="0" xfId="0" applyAlignment="1">
      <alignment vertical="center"/>
    </xf>
    <xf numFmtId="0" fontId="13" fillId="0" borderId="0" xfId="0" applyNumberFormat="1" applyFont="1" applyFill="1" applyAlignment="1" applyProtection="1"/>
    <xf numFmtId="0" fontId="13" fillId="0" borderId="0" xfId="0" applyNumberFormat="1" applyFont="1" applyFill="1" applyAlignment="1" applyProtection="1">
      <alignment horizontal="left" vertical="center"/>
    </xf>
    <xf numFmtId="0" fontId="13" fillId="0" borderId="0" xfId="0" applyNumberFormat="1" applyFont="1" applyFill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IV32"/>
  <sheetViews>
    <sheetView showGridLines="0" showOutlineSymbols="0" tabSelected="1" zoomScaleSheetLayoutView="60" topLeftCell="A14" workbookViewId="0">
      <selection activeCell="A1" sqref="A1:C32"/>
    </sheetView>
  </sheetViews>
  <sheetFormatPr defaultColWidth="9.14814814814815" defaultRowHeight="25.15" customHeight="1"/>
  <cols>
    <col min="1" max="1" width="32.4444444444444" style="62" customWidth="1"/>
    <col min="2" max="2" width="21.2222222222222" style="62" customWidth="1"/>
    <col min="3" max="3" width="23.6666666666667" style="62" customWidth="1"/>
    <col min="4" max="4" width="17.3333333333333" style="62" customWidth="1"/>
    <col min="5" max="5" width="3.88888888888889" style="62" customWidth="1"/>
    <col min="6" max="6" width="12.6" style="62" customWidth="1"/>
    <col min="7" max="8" width="10.2222222222222" style="62" customWidth="1"/>
    <col min="9" max="9" width="3.88888888888889" style="62" customWidth="1"/>
    <col min="10" max="10" width="12.6" style="62" customWidth="1"/>
    <col min="11" max="12" width="10.2222222222222" style="62" customWidth="1"/>
    <col min="13" max="16384" width="9.14814814814815" style="62" customWidth="1"/>
  </cols>
  <sheetData>
    <row r="1" ht="43.5" customHeight="1" spans="1:256">
      <c r="A1" s="1" t="s">
        <v>0</v>
      </c>
      <c r="B1" s="2"/>
      <c r="C1" s="2"/>
      <c r="L1" s="55"/>
    </row>
    <row r="2" customHeight="1" spans="1:256">
      <c r="A2" s="5"/>
      <c r="B2" s="5" t="s">
        <v>1</v>
      </c>
      <c r="C2" s="6" t="s">
        <v>2</v>
      </c>
      <c r="E2" s="63"/>
    </row>
    <row r="3" s="61" customFormat="1" ht="24" customHeight="1" spans="1:256">
      <c r="A3" s="10" t="s">
        <v>3</v>
      </c>
      <c r="B3" s="10"/>
      <c r="C3" s="10" t="s">
        <v>4</v>
      </c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</row>
    <row r="4" s="61" customFormat="1" ht="24" customHeight="1" spans="1:256">
      <c r="A4" s="11" t="s">
        <v>5</v>
      </c>
      <c r="B4" s="11" t="s">
        <v>6</v>
      </c>
      <c r="C4" s="11" t="s">
        <v>7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4"/>
      <c r="P4" s="64"/>
      <c r="Q4" s="64"/>
      <c r="R4" s="64"/>
      <c r="S4" s="64"/>
    </row>
    <row r="5" s="61" customFormat="1" ht="24" customHeight="1" spans="1:256">
      <c r="A5" s="18" t="s">
        <v>8</v>
      </c>
      <c r="B5" s="19" t="e">
        <f>B6+B8+B9+B10+B11+B12+B13+B14+B15</f>
        <v>#VALUE!</v>
      </c>
      <c r="C5" s="19" t="e">
        <f>C6+C8+C9+C10+C11+C12+C13+C14+C15</f>
        <v>#VALUE!</v>
      </c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64"/>
      <c r="R5" s="64"/>
      <c r="S5" s="64"/>
    </row>
    <row r="6" s="61" customFormat="1" ht="24" customHeight="1" spans="1:256">
      <c r="A6" s="26" t="s">
        <v>9</v>
      </c>
      <c r="B6" s="19" t="s">
        <v>10</v>
      </c>
      <c r="C6" s="19" t="s">
        <v>11</v>
      </c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  <c r="Q6" s="64"/>
      <c r="R6" s="64"/>
      <c r="S6" s="64"/>
    </row>
    <row r="7" s="61" customFormat="1" ht="24" customHeight="1" spans="1:256">
      <c r="A7" s="31" t="s">
        <v>12</v>
      </c>
      <c r="B7" s="19" t="s">
        <v>13</v>
      </c>
      <c r="C7" s="19" t="s">
        <v>14</v>
      </c>
      <c r="D7" s="64"/>
      <c r="E7" s="64"/>
      <c r="F7" s="64"/>
      <c r="G7" s="64"/>
      <c r="H7" s="64"/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</row>
    <row r="8" s="61" customFormat="1" ht="24" customHeight="1" spans="1:256">
      <c r="A8" s="34" t="s">
        <v>15</v>
      </c>
      <c r="B8" s="19" t="s">
        <v>16</v>
      </c>
      <c r="C8" s="19" t="s">
        <v>17</v>
      </c>
      <c r="D8" s="64"/>
      <c r="E8" s="64"/>
      <c r="F8" s="64"/>
      <c r="G8" s="64"/>
      <c r="H8" s="64"/>
      <c r="I8" s="64"/>
      <c r="J8" s="64"/>
      <c r="K8" s="64"/>
      <c r="L8" s="64"/>
      <c r="M8" s="64"/>
      <c r="N8" s="64"/>
      <c r="O8" s="64"/>
      <c r="P8" s="64"/>
      <c r="Q8" s="64"/>
      <c r="R8" s="64"/>
      <c r="S8" s="64"/>
    </row>
    <row r="9" s="61" customFormat="1" ht="24" customHeight="1" spans="1:256">
      <c r="A9" s="34" t="s">
        <v>18</v>
      </c>
      <c r="B9" s="19" t="s">
        <v>19</v>
      </c>
      <c r="C9" s="19" t="s">
        <v>20</v>
      </c>
      <c r="D9" s="64"/>
      <c r="E9" s="64"/>
      <c r="F9" s="64"/>
      <c r="G9" s="64"/>
      <c r="H9" s="64"/>
      <c r="I9" s="64"/>
      <c r="J9" s="64"/>
      <c r="K9" s="64"/>
      <c r="L9" s="64"/>
      <c r="M9" s="64"/>
      <c r="N9" s="64"/>
      <c r="O9" s="64"/>
      <c r="P9" s="64"/>
      <c r="Q9" s="64"/>
      <c r="R9" s="64"/>
      <c r="S9" s="64"/>
    </row>
    <row r="10" s="61" customFormat="1" ht="24" customHeight="1" spans="1:256">
      <c r="A10" s="34" t="s">
        <v>21</v>
      </c>
      <c r="B10" s="19" t="s">
        <v>22</v>
      </c>
      <c r="C10" s="19" t="s">
        <v>23</v>
      </c>
      <c r="D10" s="64"/>
      <c r="E10" s="64"/>
      <c r="F10" s="64"/>
      <c r="G10" s="64"/>
      <c r="H10" s="64"/>
      <c r="I10" s="64"/>
      <c r="J10" s="64"/>
      <c r="K10" s="64"/>
      <c r="L10" s="64"/>
      <c r="M10" s="64"/>
    </row>
    <row r="11" s="61" customFormat="1" ht="24" customHeight="1" spans="1:256">
      <c r="A11" s="26" t="s">
        <v>24</v>
      </c>
      <c r="B11" s="19" t="s">
        <v>25</v>
      </c>
      <c r="C11" s="19" t="s">
        <v>26</v>
      </c>
      <c r="D11" s="64"/>
      <c r="E11" s="64"/>
      <c r="F11" s="64"/>
      <c r="G11" s="64"/>
      <c r="H11" s="64"/>
      <c r="I11" s="64"/>
      <c r="J11" s="64"/>
      <c r="K11" s="64"/>
      <c r="L11" s="64"/>
      <c r="M11" s="64"/>
    </row>
    <row r="12" s="61" customFormat="1" customHeight="1" spans="1:256">
      <c r="A12" s="26" t="s">
        <v>27</v>
      </c>
      <c r="B12" s="19" t="s">
        <v>28</v>
      </c>
      <c r="C12" s="19" t="s">
        <v>29</v>
      </c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  <c r="AA12" s="64"/>
      <c r="AB12" s="64"/>
      <c r="AC12" s="64"/>
      <c r="AD12" s="64"/>
      <c r="AE12" s="64"/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  <c r="BE12" s="64"/>
      <c r="BF12" s="64"/>
      <c r="BG12" s="64"/>
      <c r="BH12" s="64"/>
      <c r="BI12" s="64"/>
      <c r="BJ12" s="64"/>
      <c r="BK12" s="64"/>
      <c r="BL12" s="64"/>
      <c r="BM12" s="64"/>
      <c r="BN12" s="64"/>
      <c r="BO12" s="64"/>
      <c r="BP12" s="64"/>
      <c r="BQ12" s="64"/>
      <c r="BR12" s="64"/>
      <c r="BS12" s="64"/>
      <c r="BT12" s="64"/>
      <c r="BU12" s="64"/>
      <c r="BV12" s="64"/>
      <c r="BW12" s="64"/>
      <c r="BX12" s="64"/>
      <c r="BY12" s="64"/>
      <c r="BZ12" s="64"/>
      <c r="CA12" s="64"/>
      <c r="CB12" s="64"/>
      <c r="CC12" s="64"/>
      <c r="CD12" s="64"/>
      <c r="CE12" s="64"/>
      <c r="CF12" s="64"/>
      <c r="CG12" s="64"/>
      <c r="CH12" s="64"/>
      <c r="CI12" s="64"/>
      <c r="CJ12" s="64"/>
      <c r="CK12" s="64"/>
      <c r="CL12" s="64"/>
      <c r="CM12" s="64"/>
      <c r="CN12" s="64"/>
      <c r="CO12" s="64"/>
      <c r="CP12" s="64"/>
      <c r="CQ12" s="64"/>
      <c r="CR12" s="64"/>
      <c r="CS12" s="64"/>
      <c r="CT12" s="64"/>
      <c r="CU12" s="64"/>
      <c r="CV12" s="64"/>
      <c r="CW12" s="64"/>
      <c r="CX12" s="64"/>
      <c r="CY12" s="64"/>
      <c r="CZ12" s="64"/>
      <c r="DA12" s="64"/>
      <c r="DB12" s="64"/>
      <c r="DC12" s="64"/>
      <c r="DD12" s="64"/>
      <c r="DE12" s="64"/>
      <c r="DF12" s="64"/>
      <c r="DG12" s="64"/>
      <c r="DH12" s="64"/>
      <c r="DI12" s="64"/>
      <c r="DJ12" s="64"/>
      <c r="DK12" s="64"/>
      <c r="DL12" s="64"/>
      <c r="DM12" s="64"/>
      <c r="DN12" s="64"/>
      <c r="DO12" s="64"/>
      <c r="DP12" s="64"/>
      <c r="DQ12" s="64"/>
      <c r="DR12" s="64"/>
      <c r="DS12" s="64"/>
      <c r="DT12" s="64"/>
      <c r="DU12" s="64"/>
      <c r="DV12" s="64"/>
      <c r="DW12" s="64"/>
      <c r="DX12" s="64"/>
      <c r="DY12" s="64"/>
      <c r="DZ12" s="64"/>
      <c r="EA12" s="64"/>
      <c r="EB12" s="64"/>
      <c r="EC12" s="64"/>
      <c r="ED12" s="64"/>
      <c r="EE12" s="64"/>
      <c r="EF12" s="64"/>
      <c r="EG12" s="64"/>
      <c r="EH12" s="64"/>
      <c r="EI12" s="64"/>
      <c r="EJ12" s="64"/>
      <c r="EK12" s="64"/>
      <c r="EL12" s="64"/>
      <c r="EM12" s="64"/>
      <c r="EN12" s="64"/>
      <c r="EO12" s="64"/>
      <c r="EP12" s="64"/>
      <c r="EQ12" s="64"/>
      <c r="ER12" s="64"/>
      <c r="ES12" s="64"/>
      <c r="ET12" s="64"/>
      <c r="EU12" s="64"/>
      <c r="EV12" s="64"/>
      <c r="EW12" s="64"/>
      <c r="EX12" s="64"/>
      <c r="EY12" s="64"/>
      <c r="EZ12" s="64"/>
      <c r="FA12" s="64"/>
      <c r="FB12" s="64"/>
      <c r="FC12" s="64"/>
      <c r="FD12" s="64"/>
      <c r="FE12" s="64"/>
      <c r="FF12" s="64"/>
      <c r="FG12" s="64"/>
      <c r="FH12" s="64"/>
      <c r="FI12" s="64"/>
      <c r="FJ12" s="64"/>
      <c r="FK12" s="64"/>
      <c r="FL12" s="64"/>
      <c r="FM12" s="64"/>
      <c r="FN12" s="64"/>
      <c r="FO12" s="64"/>
      <c r="FP12" s="64"/>
      <c r="FQ12" s="64"/>
      <c r="FR12" s="64"/>
      <c r="FS12" s="64"/>
      <c r="FT12" s="64"/>
      <c r="FU12" s="64"/>
      <c r="FV12" s="64"/>
      <c r="FW12" s="64"/>
      <c r="FX12" s="64"/>
      <c r="FY12" s="64"/>
      <c r="FZ12" s="64"/>
      <c r="GA12" s="64"/>
      <c r="GB12" s="64"/>
      <c r="GC12" s="64"/>
      <c r="GD12" s="64"/>
      <c r="GE12" s="64"/>
      <c r="GF12" s="64"/>
      <c r="GG12" s="64"/>
      <c r="GH12" s="64"/>
      <c r="GI12" s="64"/>
      <c r="GJ12" s="64"/>
      <c r="GK12" s="64"/>
      <c r="GL12" s="64"/>
      <c r="GM12" s="64"/>
      <c r="GN12" s="64"/>
      <c r="GO12" s="64"/>
      <c r="GP12" s="64"/>
      <c r="GQ12" s="64"/>
      <c r="GR12" s="64"/>
      <c r="GS12" s="64"/>
      <c r="GT12" s="64"/>
      <c r="GU12" s="64"/>
      <c r="GV12" s="64"/>
      <c r="GW12" s="64"/>
      <c r="GX12" s="64"/>
      <c r="GY12" s="64"/>
      <c r="GZ12" s="64"/>
      <c r="HA12" s="64"/>
      <c r="HB12" s="64"/>
      <c r="HC12" s="64"/>
      <c r="HD12" s="64"/>
      <c r="HE12" s="64"/>
      <c r="HF12" s="64"/>
      <c r="HG12" s="64"/>
      <c r="HH12" s="64"/>
      <c r="HI12" s="64"/>
      <c r="HJ12" s="64"/>
      <c r="HK12" s="64"/>
      <c r="HL12" s="64"/>
      <c r="HM12" s="64"/>
      <c r="HN12" s="64"/>
      <c r="HO12" s="64"/>
      <c r="HP12" s="64"/>
      <c r="HQ12" s="64"/>
      <c r="HR12" s="64"/>
      <c r="HS12" s="64"/>
      <c r="HT12" s="64"/>
      <c r="HU12" s="64"/>
      <c r="HV12" s="64"/>
      <c r="HW12" s="64"/>
      <c r="HX12" s="64"/>
      <c r="HY12" s="64"/>
      <c r="HZ12" s="64"/>
      <c r="IA12" s="64"/>
      <c r="IB12" s="64"/>
      <c r="IC12" s="64"/>
      <c r="ID12" s="64"/>
      <c r="IE12" s="64"/>
      <c r="IF12" s="64"/>
      <c r="IG12" s="64"/>
      <c r="IH12" s="64"/>
      <c r="II12" s="64"/>
      <c r="IJ12" s="64"/>
      <c r="IK12" s="64"/>
      <c r="IL12" s="64"/>
      <c r="IM12" s="64"/>
      <c r="IN12" s="64"/>
      <c r="IO12" s="64"/>
      <c r="IP12" s="64"/>
      <c r="IQ12" s="64"/>
      <c r="IR12" s="64"/>
      <c r="IS12" s="64"/>
      <c r="IT12" s="64"/>
      <c r="IU12" s="64"/>
      <c r="IV12" s="64"/>
    </row>
    <row r="13" s="61" customFormat="1" ht="24" customHeight="1" spans="1:256">
      <c r="A13" s="26" t="s">
        <v>30</v>
      </c>
      <c r="B13" s="19" t="s">
        <v>31</v>
      </c>
      <c r="C13" s="19" t="s">
        <v>32</v>
      </c>
      <c r="D13" s="64"/>
      <c r="E13" s="64"/>
      <c r="F13" s="64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</row>
    <row r="14" s="61" customFormat="1" ht="24" customHeight="1" spans="1:256">
      <c r="A14" s="26" t="s">
        <v>33</v>
      </c>
      <c r="B14" s="19" t="s">
        <v>34</v>
      </c>
      <c r="C14" s="19" t="s">
        <v>35</v>
      </c>
      <c r="D14" s="64"/>
      <c r="E14" s="64"/>
      <c r="F14" s="64"/>
      <c r="G14" s="64"/>
      <c r="H14" s="64"/>
      <c r="I14" s="64"/>
      <c r="J14" s="64"/>
      <c r="K14" s="64"/>
      <c r="L14" s="64"/>
      <c r="M14" s="64"/>
      <c r="N14" s="64"/>
      <c r="O14" s="64"/>
      <c r="P14" s="64"/>
      <c r="Q14" s="64"/>
      <c r="R14" s="64"/>
      <c r="S14" s="64"/>
    </row>
    <row r="15" s="61" customFormat="1" ht="24" customHeight="1" spans="1:256">
      <c r="A15" s="34" t="s">
        <v>36</v>
      </c>
      <c r="B15" s="19" t="s">
        <v>37</v>
      </c>
      <c r="C15" s="19" t="s">
        <v>38</v>
      </c>
      <c r="D15" s="64"/>
      <c r="E15" s="64"/>
      <c r="F15" s="64"/>
      <c r="G15" s="64"/>
      <c r="H15" s="64"/>
      <c r="I15" s="64"/>
      <c r="J15" s="64"/>
      <c r="K15" s="64"/>
      <c r="L15" s="64"/>
      <c r="M15" s="64"/>
      <c r="N15" s="64"/>
      <c r="O15" s="64"/>
      <c r="P15" s="64"/>
      <c r="Q15" s="64"/>
      <c r="R15" s="64"/>
      <c r="S15" s="64"/>
    </row>
    <row r="16" s="61" customFormat="1" ht="24" customHeight="1" spans="1:256">
      <c r="A16" s="34" t="s">
        <v>39</v>
      </c>
      <c r="B16" s="19" t="s">
        <v>40</v>
      </c>
      <c r="C16" s="19" t="s">
        <v>41</v>
      </c>
      <c r="D16" s="64"/>
      <c r="E16" s="64"/>
      <c r="F16" s="64"/>
      <c r="G16" s="64"/>
      <c r="H16" s="64"/>
      <c r="I16" s="64"/>
      <c r="J16" s="64"/>
      <c r="K16" s="64"/>
      <c r="L16" s="64"/>
      <c r="M16" s="64"/>
      <c r="N16" s="64"/>
      <c r="O16" s="64"/>
      <c r="P16" s="64"/>
      <c r="Q16" s="64"/>
      <c r="R16" s="64"/>
      <c r="S16" s="64"/>
    </row>
    <row r="17" s="61" customFormat="1" customHeight="1" spans="1:256">
      <c r="A17" s="34" t="s">
        <v>42</v>
      </c>
      <c r="B17" s="19" t="s">
        <v>43</v>
      </c>
      <c r="C17" s="19" t="s">
        <v>44</v>
      </c>
      <c r="D17" s="64"/>
      <c r="E17" s="64"/>
      <c r="F17" s="64"/>
      <c r="G17" s="64"/>
      <c r="H17" s="64"/>
      <c r="I17" s="64"/>
      <c r="J17" s="64"/>
      <c r="K17" s="64"/>
      <c r="L17" s="64"/>
      <c r="M17" s="64"/>
      <c r="N17" s="64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  <c r="AA17" s="64"/>
      <c r="AB17" s="64"/>
      <c r="AC17" s="64"/>
      <c r="AD17" s="64"/>
      <c r="AE17" s="64"/>
      <c r="AF17" s="64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  <c r="BE17" s="64"/>
      <c r="BF17" s="64"/>
      <c r="BG17" s="64"/>
      <c r="BH17" s="64"/>
      <c r="BI17" s="64"/>
      <c r="BJ17" s="64"/>
      <c r="BK17" s="64"/>
      <c r="BL17" s="64"/>
      <c r="BM17" s="64"/>
      <c r="BN17" s="64"/>
      <c r="BO17" s="64"/>
      <c r="BP17" s="64"/>
      <c r="BQ17" s="64"/>
      <c r="BR17" s="64"/>
      <c r="BS17" s="64"/>
      <c r="BT17" s="64"/>
      <c r="BU17" s="64"/>
      <c r="BV17" s="64"/>
      <c r="BW17" s="64"/>
      <c r="BX17" s="64"/>
      <c r="BY17" s="64"/>
      <c r="BZ17" s="64"/>
      <c r="CA17" s="64"/>
      <c r="CB17" s="64"/>
      <c r="CC17" s="64"/>
      <c r="CD17" s="64"/>
      <c r="CE17" s="64"/>
      <c r="CF17" s="64"/>
      <c r="CG17" s="64"/>
      <c r="CH17" s="64"/>
      <c r="CI17" s="64"/>
      <c r="CJ17" s="64"/>
      <c r="CK17" s="64"/>
      <c r="CL17" s="64"/>
      <c r="CM17" s="64"/>
      <c r="CN17" s="64"/>
      <c r="CO17" s="64"/>
      <c r="CP17" s="64"/>
      <c r="CQ17" s="64"/>
      <c r="CR17" s="64"/>
      <c r="CS17" s="64"/>
      <c r="CT17" s="64"/>
      <c r="CU17" s="64"/>
      <c r="CV17" s="64"/>
      <c r="CW17" s="64"/>
      <c r="CX17" s="64"/>
      <c r="CY17" s="64"/>
      <c r="CZ17" s="64"/>
      <c r="DA17" s="64"/>
      <c r="DB17" s="64"/>
      <c r="DC17" s="64"/>
      <c r="DD17" s="64"/>
      <c r="DE17" s="64"/>
      <c r="DF17" s="64"/>
      <c r="DG17" s="64"/>
      <c r="DH17" s="64"/>
      <c r="DI17" s="64"/>
      <c r="DJ17" s="64"/>
      <c r="DK17" s="64"/>
      <c r="DL17" s="64"/>
      <c r="DM17" s="64"/>
      <c r="DN17" s="64"/>
      <c r="DO17" s="64"/>
      <c r="DP17" s="64"/>
      <c r="DQ17" s="64"/>
      <c r="DR17" s="64"/>
      <c r="DS17" s="64"/>
      <c r="DT17" s="64"/>
      <c r="DU17" s="64"/>
      <c r="DV17" s="64"/>
      <c r="DW17" s="64"/>
      <c r="DX17" s="64"/>
      <c r="DY17" s="64"/>
      <c r="DZ17" s="64"/>
      <c r="EA17" s="64"/>
      <c r="EB17" s="64"/>
      <c r="EC17" s="64"/>
      <c r="ED17" s="64"/>
      <c r="EE17" s="64"/>
      <c r="EF17" s="64"/>
      <c r="EG17" s="64"/>
      <c r="EH17" s="64"/>
      <c r="EI17" s="64"/>
      <c r="EJ17" s="64"/>
      <c r="EK17" s="64"/>
      <c r="EL17" s="64"/>
      <c r="EM17" s="64"/>
      <c r="EN17" s="64"/>
      <c r="EO17" s="64"/>
      <c r="EP17" s="64"/>
      <c r="EQ17" s="64"/>
      <c r="ER17" s="64"/>
      <c r="ES17" s="64"/>
      <c r="ET17" s="64"/>
      <c r="EU17" s="64"/>
      <c r="EV17" s="64"/>
      <c r="EW17" s="64"/>
      <c r="EX17" s="64"/>
      <c r="EY17" s="64"/>
      <c r="EZ17" s="64"/>
      <c r="FA17" s="64"/>
      <c r="FB17" s="64"/>
      <c r="FC17" s="64"/>
      <c r="FD17" s="64"/>
      <c r="FE17" s="64"/>
      <c r="FF17" s="64"/>
      <c r="FG17" s="64"/>
      <c r="FH17" s="64"/>
      <c r="FI17" s="64"/>
      <c r="FJ17" s="64"/>
      <c r="FK17" s="64"/>
      <c r="FL17" s="64"/>
      <c r="FM17" s="64"/>
      <c r="FN17" s="64"/>
      <c r="FO17" s="64"/>
      <c r="FP17" s="64"/>
      <c r="FQ17" s="64"/>
      <c r="FR17" s="64"/>
      <c r="FS17" s="64"/>
      <c r="FT17" s="64"/>
      <c r="FU17" s="64"/>
      <c r="FV17" s="64"/>
      <c r="FW17" s="64"/>
      <c r="FX17" s="64"/>
      <c r="FY17" s="64"/>
      <c r="FZ17" s="64"/>
      <c r="GA17" s="64"/>
      <c r="GB17" s="64"/>
      <c r="GC17" s="64"/>
      <c r="GD17" s="64"/>
      <c r="GE17" s="64"/>
      <c r="GF17" s="64"/>
      <c r="GG17" s="64"/>
      <c r="GH17" s="64"/>
      <c r="GI17" s="64"/>
      <c r="GJ17" s="64"/>
      <c r="GK17" s="64"/>
      <c r="GL17" s="64"/>
      <c r="GM17" s="64"/>
      <c r="GN17" s="64"/>
      <c r="GO17" s="64"/>
      <c r="GP17" s="64"/>
      <c r="GQ17" s="64"/>
      <c r="GR17" s="64"/>
      <c r="GS17" s="64"/>
      <c r="GT17" s="64"/>
      <c r="GU17" s="64"/>
      <c r="GV17" s="64"/>
      <c r="GW17" s="64"/>
      <c r="GX17" s="64"/>
      <c r="GY17" s="64"/>
      <c r="GZ17" s="64"/>
      <c r="HA17" s="64"/>
      <c r="HB17" s="64"/>
      <c r="HC17" s="64"/>
      <c r="HD17" s="64"/>
      <c r="HE17" s="64"/>
      <c r="HF17" s="64"/>
      <c r="HG17" s="64"/>
      <c r="HH17" s="64"/>
      <c r="HI17" s="64"/>
      <c r="HJ17" s="64"/>
      <c r="HK17" s="64"/>
      <c r="HL17" s="64"/>
      <c r="HM17" s="64"/>
      <c r="HN17" s="64"/>
      <c r="HO17" s="64"/>
      <c r="HP17" s="64"/>
      <c r="HQ17" s="64"/>
      <c r="HR17" s="64"/>
      <c r="HS17" s="64"/>
      <c r="HT17" s="64"/>
      <c r="HU17" s="64"/>
      <c r="HV17" s="64"/>
      <c r="HW17" s="64"/>
      <c r="HX17" s="64"/>
      <c r="HY17" s="64"/>
      <c r="HZ17" s="64"/>
      <c r="IA17" s="64"/>
      <c r="IB17" s="64"/>
      <c r="IC17" s="64"/>
      <c r="ID17" s="64"/>
      <c r="IE17" s="64"/>
      <c r="IF17" s="64"/>
      <c r="IG17" s="64"/>
      <c r="IH17" s="64"/>
      <c r="II17" s="64"/>
      <c r="IJ17" s="64"/>
      <c r="IK17" s="64"/>
      <c r="IL17" s="64"/>
      <c r="IM17" s="64"/>
      <c r="IN17" s="64"/>
      <c r="IO17" s="64"/>
      <c r="IP17" s="64"/>
      <c r="IQ17" s="64"/>
      <c r="IR17" s="64"/>
      <c r="IS17" s="64"/>
      <c r="IT17" s="64"/>
      <c r="IU17" s="64"/>
      <c r="IV17" s="64"/>
    </row>
    <row r="18" s="61" customFormat="1" ht="24" customHeight="1" spans="1:256">
      <c r="A18" s="34" t="s">
        <v>45</v>
      </c>
      <c r="B18" s="19" t="s">
        <v>46</v>
      </c>
      <c r="C18" s="19" t="s">
        <v>47</v>
      </c>
      <c r="D18" s="64"/>
      <c r="E18" s="64"/>
      <c r="F18" s="64"/>
      <c r="G18" s="64"/>
      <c r="H18" s="64"/>
      <c r="I18" s="64"/>
      <c r="J18" s="64"/>
      <c r="K18" s="64"/>
      <c r="L18" s="64"/>
      <c r="M18" s="64"/>
      <c r="N18" s="64"/>
      <c r="O18" s="64"/>
      <c r="P18" s="64"/>
      <c r="Q18" s="64"/>
      <c r="R18" s="64"/>
      <c r="S18" s="64"/>
    </row>
    <row r="19" s="61" customFormat="1" ht="24" customHeight="1" spans="1:256">
      <c r="A19" s="18" t="s">
        <v>48</v>
      </c>
      <c r="B19" s="19" t="e">
        <f>B20+B21+B22+B23+B24+B25+B26+B27</f>
        <v>#VALUE!</v>
      </c>
      <c r="C19" s="19" t="e">
        <f>C20+C21+C22+C23+C24+C25+C26+C27</f>
        <v>#VALUE!</v>
      </c>
      <c r="D19" s="64"/>
      <c r="E19" s="64"/>
      <c r="F19" s="64"/>
      <c r="G19" s="64"/>
      <c r="H19" s="64"/>
      <c r="I19" s="64"/>
      <c r="J19" s="64"/>
      <c r="K19" s="64"/>
      <c r="L19" s="64"/>
      <c r="M19" s="64"/>
      <c r="N19" s="64"/>
      <c r="O19" s="64"/>
      <c r="P19" s="64"/>
      <c r="Q19" s="64"/>
      <c r="R19" s="64"/>
      <c r="S19" s="64"/>
    </row>
    <row r="20" s="61" customFormat="1" ht="24" customHeight="1" spans="1:256">
      <c r="A20" s="26" t="s">
        <v>49</v>
      </c>
      <c r="B20" s="19" t="s">
        <v>50</v>
      </c>
      <c r="C20" s="19" t="s">
        <v>51</v>
      </c>
      <c r="D20" s="64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4"/>
      <c r="P20" s="64"/>
      <c r="Q20" s="64"/>
      <c r="R20" s="64"/>
      <c r="S20" s="64"/>
    </row>
    <row r="21" s="61" customFormat="1" ht="24" customHeight="1" spans="1:256">
      <c r="A21" s="26" t="s">
        <v>52</v>
      </c>
      <c r="B21" s="19" t="s">
        <v>53</v>
      </c>
      <c r="C21" s="19" t="s">
        <v>54</v>
      </c>
      <c r="D21" s="64"/>
      <c r="E21" s="64"/>
      <c r="F21" s="64"/>
      <c r="G21" s="64"/>
      <c r="H21" s="64"/>
      <c r="I21" s="64"/>
      <c r="J21" s="64"/>
      <c r="K21" s="64"/>
      <c r="L21" s="64"/>
      <c r="M21" s="64"/>
      <c r="N21" s="64"/>
      <c r="O21" s="64"/>
      <c r="P21" s="64"/>
      <c r="Q21" s="64"/>
      <c r="R21" s="64"/>
      <c r="S21" s="64"/>
    </row>
    <row r="22" s="61" customFormat="1" ht="24" customHeight="1" spans="1:256">
      <c r="A22" s="26" t="s">
        <v>55</v>
      </c>
      <c r="B22" s="19" t="s">
        <v>56</v>
      </c>
      <c r="C22" s="19" t="s">
        <v>57</v>
      </c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</row>
    <row r="23" s="61" customFormat="1" ht="24" customHeight="1" spans="1:256">
      <c r="A23" s="26" t="s">
        <v>58</v>
      </c>
      <c r="B23" s="19" t="s">
        <v>59</v>
      </c>
      <c r="C23" s="19" t="s">
        <v>60</v>
      </c>
      <c r="D23" s="64"/>
      <c r="E23" s="64"/>
    </row>
    <row r="24" s="61" customFormat="1" ht="24" customHeight="1" spans="1:256">
      <c r="A24" s="26" t="s">
        <v>61</v>
      </c>
      <c r="B24" s="19" t="s">
        <v>62</v>
      </c>
      <c r="C24" s="19" t="s">
        <v>63</v>
      </c>
      <c r="D24" s="64"/>
      <c r="E24" s="64"/>
      <c r="F24" s="64"/>
      <c r="G24" s="64"/>
      <c r="H24" s="64"/>
      <c r="I24" s="64"/>
      <c r="J24" s="64"/>
      <c r="K24" s="64"/>
      <c r="L24" s="64"/>
      <c r="M24" s="64"/>
    </row>
    <row r="25" s="61" customFormat="1" ht="24" customHeight="1" spans="1:256">
      <c r="A25" s="26" t="s">
        <v>64</v>
      </c>
      <c r="B25" s="19" t="s">
        <v>65</v>
      </c>
      <c r="C25" s="19" t="s">
        <v>66</v>
      </c>
      <c r="D25" s="64"/>
      <c r="E25" s="64"/>
    </row>
    <row r="26" s="61" customFormat="1" ht="24" customHeight="1" spans="1:256">
      <c r="A26" s="26" t="s">
        <v>67</v>
      </c>
      <c r="B26" s="19" t="s">
        <v>68</v>
      </c>
      <c r="C26" s="19" t="s">
        <v>69</v>
      </c>
      <c r="D26" s="64"/>
      <c r="E26" s="64"/>
    </row>
    <row r="27" s="61" customFormat="1" ht="24" customHeight="1" spans="1:256">
      <c r="A27" s="26" t="s">
        <v>70</v>
      </c>
      <c r="B27" s="19" t="s">
        <v>71</v>
      </c>
      <c r="C27" s="19" t="s">
        <v>72</v>
      </c>
      <c r="D27" s="64"/>
      <c r="E27" s="64"/>
    </row>
    <row r="28" s="61" customFormat="1" customHeight="1" spans="1:256">
      <c r="A28" s="34" t="s">
        <v>73</v>
      </c>
      <c r="B28" s="19" t="s">
        <v>74</v>
      </c>
      <c r="C28" s="19" t="s">
        <v>75</v>
      </c>
      <c r="D28" s="64"/>
      <c r="E28" s="64"/>
      <c r="F28" s="64"/>
      <c r="G28" s="64"/>
      <c r="H28" s="64"/>
      <c r="I28" s="64"/>
      <c r="J28" s="64"/>
      <c r="K28" s="64"/>
      <c r="L28" s="64"/>
      <c r="M28" s="64"/>
      <c r="N28" s="64"/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  <c r="AA28" s="64"/>
      <c r="AB28" s="64"/>
      <c r="AC28" s="64"/>
      <c r="AD28" s="64"/>
      <c r="AE28" s="64"/>
      <c r="AF28" s="64"/>
      <c r="AG28" s="64"/>
      <c r="AH28" s="64"/>
      <c r="AI28" s="64"/>
      <c r="AJ28" s="64"/>
      <c r="AK28" s="64"/>
      <c r="AL28" s="64"/>
      <c r="AM28" s="64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  <c r="BE28" s="64"/>
      <c r="BF28" s="64"/>
      <c r="BG28" s="64"/>
      <c r="BH28" s="64"/>
      <c r="BI28" s="64"/>
      <c r="BJ28" s="64"/>
      <c r="BK28" s="64"/>
      <c r="BL28" s="64"/>
      <c r="BM28" s="64"/>
      <c r="BN28" s="64"/>
      <c r="BO28" s="64"/>
      <c r="BP28" s="64"/>
      <c r="BQ28" s="64"/>
      <c r="BR28" s="64"/>
      <c r="BS28" s="64"/>
      <c r="BT28" s="64"/>
      <c r="BU28" s="64"/>
      <c r="BV28" s="64"/>
      <c r="BW28" s="64"/>
      <c r="BX28" s="64"/>
      <c r="BY28" s="64"/>
      <c r="BZ28" s="64"/>
      <c r="CA28" s="64"/>
      <c r="CB28" s="64"/>
      <c r="CC28" s="64"/>
      <c r="CD28" s="64"/>
      <c r="CE28" s="64"/>
      <c r="CF28" s="64"/>
      <c r="CG28" s="64"/>
      <c r="CH28" s="64"/>
      <c r="CI28" s="64"/>
      <c r="CJ28" s="64"/>
      <c r="CK28" s="64"/>
      <c r="CL28" s="64"/>
      <c r="CM28" s="64"/>
      <c r="CN28" s="64"/>
      <c r="CO28" s="64"/>
      <c r="CP28" s="64"/>
      <c r="CQ28" s="64"/>
      <c r="CR28" s="64"/>
      <c r="CS28" s="64"/>
      <c r="CT28" s="64"/>
      <c r="CU28" s="64"/>
      <c r="CV28" s="64"/>
      <c r="CW28" s="64"/>
      <c r="CX28" s="64"/>
      <c r="CY28" s="64"/>
      <c r="CZ28" s="64"/>
      <c r="DA28" s="64"/>
      <c r="DB28" s="64"/>
      <c r="DC28" s="64"/>
      <c r="DD28" s="64"/>
      <c r="DE28" s="64"/>
      <c r="DF28" s="64"/>
      <c r="DG28" s="64"/>
      <c r="DH28" s="64"/>
      <c r="DI28" s="64"/>
      <c r="DJ28" s="64"/>
      <c r="DK28" s="64"/>
      <c r="DL28" s="64"/>
      <c r="DM28" s="64"/>
      <c r="DN28" s="64"/>
      <c r="DO28" s="64"/>
      <c r="DP28" s="64"/>
      <c r="DQ28" s="64"/>
      <c r="DR28" s="64"/>
      <c r="DS28" s="64"/>
      <c r="DT28" s="64"/>
      <c r="DU28" s="64"/>
      <c r="DV28" s="64"/>
      <c r="DW28" s="64"/>
      <c r="DX28" s="64"/>
      <c r="DY28" s="64"/>
      <c r="DZ28" s="64"/>
      <c r="EA28" s="64"/>
      <c r="EB28" s="64"/>
      <c r="EC28" s="64"/>
      <c r="ED28" s="64"/>
      <c r="EE28" s="64"/>
      <c r="EF28" s="64"/>
      <c r="EG28" s="64"/>
      <c r="EH28" s="64"/>
      <c r="EI28" s="64"/>
      <c r="EJ28" s="64"/>
      <c r="EK28" s="64"/>
      <c r="EL28" s="64"/>
      <c r="EM28" s="64"/>
      <c r="EN28" s="64"/>
      <c r="EO28" s="64"/>
      <c r="EP28" s="64"/>
      <c r="EQ28" s="64"/>
      <c r="ER28" s="64"/>
      <c r="ES28" s="64"/>
      <c r="ET28" s="64"/>
      <c r="EU28" s="64"/>
      <c r="EV28" s="64"/>
      <c r="EW28" s="64"/>
      <c r="EX28" s="64"/>
      <c r="EY28" s="64"/>
      <c r="EZ28" s="64"/>
      <c r="FA28" s="64"/>
      <c r="FB28" s="64"/>
      <c r="FC28" s="64"/>
      <c r="FD28" s="64"/>
      <c r="FE28" s="64"/>
      <c r="FF28" s="64"/>
      <c r="FG28" s="64"/>
      <c r="FH28" s="64"/>
      <c r="FI28" s="64"/>
      <c r="FJ28" s="64"/>
      <c r="FK28" s="64"/>
      <c r="FL28" s="64"/>
      <c r="FM28" s="64"/>
      <c r="FN28" s="64"/>
      <c r="FO28" s="64"/>
      <c r="FP28" s="64"/>
      <c r="FQ28" s="64"/>
      <c r="FR28" s="64"/>
      <c r="FS28" s="64"/>
      <c r="FT28" s="64"/>
      <c r="FU28" s="64"/>
      <c r="FV28" s="64"/>
      <c r="FW28" s="64"/>
      <c r="FX28" s="64"/>
      <c r="FY28" s="64"/>
      <c r="FZ28" s="64"/>
      <c r="GA28" s="64"/>
      <c r="GB28" s="64"/>
      <c r="GC28" s="64"/>
      <c r="GD28" s="64"/>
      <c r="GE28" s="64"/>
      <c r="GF28" s="64"/>
      <c r="GG28" s="64"/>
      <c r="GH28" s="64"/>
      <c r="GI28" s="64"/>
      <c r="GJ28" s="64"/>
      <c r="GK28" s="64"/>
      <c r="GL28" s="64"/>
      <c r="GM28" s="64"/>
      <c r="GN28" s="64"/>
      <c r="GO28" s="64"/>
      <c r="GP28" s="64"/>
      <c r="GQ28" s="64"/>
      <c r="GR28" s="64"/>
      <c r="GS28" s="64"/>
      <c r="GT28" s="64"/>
      <c r="GU28" s="64"/>
      <c r="GV28" s="64"/>
      <c r="GW28" s="64"/>
      <c r="GX28" s="64"/>
      <c r="GY28" s="64"/>
      <c r="GZ28" s="64"/>
      <c r="HA28" s="64"/>
      <c r="HB28" s="64"/>
      <c r="HC28" s="64"/>
      <c r="HD28" s="64"/>
      <c r="HE28" s="64"/>
      <c r="HF28" s="64"/>
      <c r="HG28" s="64"/>
      <c r="HH28" s="64"/>
      <c r="HI28" s="64"/>
      <c r="HJ28" s="64"/>
      <c r="HK28" s="64"/>
      <c r="HL28" s="64"/>
      <c r="HM28" s="64"/>
      <c r="HN28" s="64"/>
      <c r="HO28" s="64"/>
      <c r="HP28" s="64"/>
      <c r="HQ28" s="64"/>
      <c r="HR28" s="64"/>
      <c r="HS28" s="64"/>
      <c r="HT28" s="64"/>
      <c r="HU28" s="64"/>
      <c r="HV28" s="64"/>
      <c r="HW28" s="64"/>
      <c r="HX28" s="64"/>
      <c r="HY28" s="64"/>
      <c r="HZ28" s="64"/>
      <c r="IA28" s="64"/>
      <c r="IB28" s="64"/>
      <c r="IC28" s="64"/>
      <c r="ID28" s="64"/>
      <c r="IE28" s="64"/>
      <c r="IF28" s="64"/>
      <c r="IG28" s="64"/>
      <c r="IH28" s="64"/>
      <c r="II28" s="64"/>
      <c r="IJ28" s="64"/>
      <c r="IK28" s="64"/>
      <c r="IL28" s="64"/>
      <c r="IM28" s="64"/>
      <c r="IN28" s="64"/>
      <c r="IO28" s="64"/>
      <c r="IP28" s="64"/>
      <c r="IQ28" s="64"/>
      <c r="IR28" s="64"/>
      <c r="IS28" s="64"/>
      <c r="IT28" s="64"/>
      <c r="IU28" s="64"/>
      <c r="IV28" s="64"/>
    </row>
    <row r="29" s="61" customFormat="1" customHeight="1" spans="1:256">
      <c r="A29" s="34" t="s">
        <v>76</v>
      </c>
      <c r="B29" s="19" t="s">
        <v>77</v>
      </c>
      <c r="C29" s="19" t="s">
        <v>78</v>
      </c>
      <c r="D29" s="64"/>
      <c r="E29" s="64"/>
      <c r="F29" s="64"/>
      <c r="G29" s="64"/>
      <c r="H29" s="64"/>
      <c r="I29" s="64"/>
      <c r="J29" s="64"/>
      <c r="K29" s="64"/>
      <c r="L29" s="64"/>
      <c r="M29" s="64"/>
      <c r="N29" s="64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  <c r="AA29" s="64"/>
      <c r="AB29" s="64"/>
      <c r="AC29" s="64"/>
      <c r="AD29" s="64"/>
      <c r="AE29" s="64"/>
      <c r="AF29" s="64"/>
      <c r="AG29" s="64"/>
      <c r="AH29" s="64"/>
      <c r="AI29" s="64"/>
      <c r="AJ29" s="64"/>
      <c r="AK29" s="64"/>
      <c r="AL29" s="64"/>
      <c r="AM29" s="64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  <c r="BE29" s="64"/>
      <c r="BF29" s="64"/>
      <c r="BG29" s="64"/>
      <c r="BH29" s="64"/>
      <c r="BI29" s="64"/>
      <c r="BJ29" s="64"/>
      <c r="BK29" s="64"/>
      <c r="BL29" s="64"/>
      <c r="BM29" s="64"/>
      <c r="BN29" s="64"/>
      <c r="BO29" s="64"/>
      <c r="BP29" s="64"/>
      <c r="BQ29" s="64"/>
      <c r="BR29" s="64"/>
      <c r="BS29" s="64"/>
      <c r="BT29" s="64"/>
      <c r="BU29" s="64"/>
      <c r="BV29" s="64"/>
      <c r="BW29" s="64"/>
      <c r="BX29" s="64"/>
      <c r="BY29" s="64"/>
      <c r="BZ29" s="64"/>
      <c r="CA29" s="64"/>
      <c r="CB29" s="64"/>
      <c r="CC29" s="64"/>
      <c r="CD29" s="64"/>
      <c r="CE29" s="64"/>
      <c r="CF29" s="64"/>
      <c r="CG29" s="64"/>
      <c r="CH29" s="64"/>
      <c r="CI29" s="64"/>
      <c r="CJ29" s="64"/>
      <c r="CK29" s="64"/>
      <c r="CL29" s="64"/>
      <c r="CM29" s="64"/>
      <c r="CN29" s="64"/>
      <c r="CO29" s="64"/>
      <c r="CP29" s="64"/>
      <c r="CQ29" s="64"/>
      <c r="CR29" s="64"/>
      <c r="CS29" s="64"/>
      <c r="CT29" s="64"/>
      <c r="CU29" s="64"/>
      <c r="CV29" s="64"/>
      <c r="CW29" s="64"/>
      <c r="CX29" s="64"/>
      <c r="CY29" s="64"/>
      <c r="CZ29" s="64"/>
      <c r="DA29" s="64"/>
      <c r="DB29" s="64"/>
      <c r="DC29" s="64"/>
      <c r="DD29" s="64"/>
      <c r="DE29" s="64"/>
      <c r="DF29" s="64"/>
      <c r="DG29" s="64"/>
      <c r="DH29" s="64"/>
      <c r="DI29" s="64"/>
      <c r="DJ29" s="64"/>
      <c r="DK29" s="64"/>
      <c r="DL29" s="64"/>
      <c r="DM29" s="64"/>
      <c r="DN29" s="64"/>
      <c r="DO29" s="64"/>
      <c r="DP29" s="64"/>
      <c r="DQ29" s="64"/>
      <c r="DR29" s="64"/>
      <c r="DS29" s="64"/>
      <c r="DT29" s="64"/>
      <c r="DU29" s="64"/>
      <c r="DV29" s="64"/>
      <c r="DW29" s="64"/>
      <c r="DX29" s="64"/>
      <c r="DY29" s="64"/>
      <c r="DZ29" s="64"/>
      <c r="EA29" s="64"/>
      <c r="EB29" s="64"/>
      <c r="EC29" s="64"/>
      <c r="ED29" s="64"/>
      <c r="EE29" s="64"/>
      <c r="EF29" s="64"/>
      <c r="EG29" s="64"/>
      <c r="EH29" s="64"/>
      <c r="EI29" s="64"/>
      <c r="EJ29" s="64"/>
      <c r="EK29" s="64"/>
      <c r="EL29" s="64"/>
      <c r="EM29" s="64"/>
      <c r="EN29" s="64"/>
      <c r="EO29" s="64"/>
      <c r="EP29" s="64"/>
      <c r="EQ29" s="64"/>
      <c r="ER29" s="64"/>
      <c r="ES29" s="64"/>
      <c r="ET29" s="64"/>
      <c r="EU29" s="64"/>
      <c r="EV29" s="64"/>
      <c r="EW29" s="64"/>
      <c r="EX29" s="64"/>
      <c r="EY29" s="64"/>
      <c r="EZ29" s="64"/>
      <c r="FA29" s="64"/>
      <c r="FB29" s="64"/>
      <c r="FC29" s="64"/>
      <c r="FD29" s="64"/>
      <c r="FE29" s="64"/>
      <c r="FF29" s="64"/>
      <c r="FG29" s="64"/>
      <c r="FH29" s="64"/>
      <c r="FI29" s="64"/>
      <c r="FJ29" s="64"/>
      <c r="FK29" s="64"/>
      <c r="FL29" s="64"/>
      <c r="FM29" s="64"/>
      <c r="FN29" s="64"/>
      <c r="FO29" s="64"/>
      <c r="FP29" s="64"/>
      <c r="FQ29" s="64"/>
      <c r="FR29" s="64"/>
      <c r="FS29" s="64"/>
      <c r="FT29" s="64"/>
      <c r="FU29" s="64"/>
      <c r="FV29" s="64"/>
      <c r="FW29" s="64"/>
      <c r="FX29" s="64"/>
      <c r="FY29" s="64"/>
      <c r="FZ29" s="64"/>
      <c r="GA29" s="64"/>
      <c r="GB29" s="64"/>
      <c r="GC29" s="64"/>
      <c r="GD29" s="64"/>
      <c r="GE29" s="64"/>
      <c r="GF29" s="64"/>
      <c r="GG29" s="64"/>
      <c r="GH29" s="64"/>
      <c r="GI29" s="64"/>
      <c r="GJ29" s="64"/>
      <c r="GK29" s="64"/>
      <c r="GL29" s="64"/>
      <c r="GM29" s="64"/>
      <c r="GN29" s="64"/>
      <c r="GO29" s="64"/>
      <c r="GP29" s="64"/>
      <c r="GQ29" s="64"/>
      <c r="GR29" s="64"/>
      <c r="GS29" s="64"/>
      <c r="GT29" s="64"/>
      <c r="GU29" s="64"/>
      <c r="GV29" s="64"/>
      <c r="GW29" s="64"/>
      <c r="GX29" s="64"/>
      <c r="GY29" s="64"/>
      <c r="GZ29" s="64"/>
      <c r="HA29" s="64"/>
      <c r="HB29" s="64"/>
      <c r="HC29" s="64"/>
      <c r="HD29" s="64"/>
      <c r="HE29" s="64"/>
      <c r="HF29" s="64"/>
      <c r="HG29" s="64"/>
      <c r="HH29" s="64"/>
      <c r="HI29" s="64"/>
      <c r="HJ29" s="64"/>
      <c r="HK29" s="64"/>
      <c r="HL29" s="64"/>
      <c r="HM29" s="64"/>
      <c r="HN29" s="64"/>
      <c r="HO29" s="64"/>
      <c r="HP29" s="64"/>
      <c r="HQ29" s="64"/>
      <c r="HR29" s="64"/>
      <c r="HS29" s="64"/>
      <c r="HT29" s="64"/>
      <c r="HU29" s="64"/>
      <c r="HV29" s="64"/>
      <c r="HW29" s="64"/>
      <c r="HX29" s="64"/>
      <c r="HY29" s="64"/>
      <c r="HZ29" s="64"/>
      <c r="IA29" s="64"/>
      <c r="IB29" s="64"/>
      <c r="IC29" s="64"/>
      <c r="ID29" s="64"/>
      <c r="IE29" s="64"/>
      <c r="IF29" s="64"/>
      <c r="IG29" s="64"/>
      <c r="IH29" s="64"/>
      <c r="II29" s="64"/>
      <c r="IJ29" s="64"/>
      <c r="IK29" s="64"/>
      <c r="IL29" s="64"/>
      <c r="IM29" s="64"/>
      <c r="IN29" s="64"/>
      <c r="IO29" s="64"/>
      <c r="IP29" s="64"/>
      <c r="IQ29" s="64"/>
      <c r="IR29" s="64"/>
      <c r="IS29" s="64"/>
      <c r="IT29" s="64"/>
      <c r="IU29" s="64"/>
      <c r="IV29" s="64"/>
    </row>
    <row r="30" s="61" customFormat="1" ht="24" customHeight="1" spans="1:256">
      <c r="A30" s="18" t="s">
        <v>79</v>
      </c>
      <c r="B30" s="52" t="e">
        <f>B5-B19</f>
        <v>#VALUE!</v>
      </c>
      <c r="C30" s="52" t="e">
        <f>C5-C19</f>
        <v>#VALUE!</v>
      </c>
      <c r="D30" s="64"/>
      <c r="E30" s="64"/>
    </row>
    <row r="31" s="61" customFormat="1" ht="24" customHeight="1" spans="1:256">
      <c r="A31" s="10" t="s">
        <v>80</v>
      </c>
      <c r="B31" s="10" t="s">
        <v>81</v>
      </c>
      <c r="C31" s="10" t="s">
        <v>82</v>
      </c>
      <c r="D31" s="64"/>
    </row>
    <row r="32" ht="12.75" customHeight="1" spans="1:256">
      <c r="A32" s="53"/>
      <c r="B32" s="54"/>
      <c r="C32" s="54"/>
    </row>
  </sheetData>
  <printOptions horizontalCentered="1" verticalCentered="1"/>
  <pageMargins left="0" right="0" top="0" bottom="0" header="0" footer="0"/>
  <pageSetup paperSize="9" orientation="portrait" horizontalDpi="180" verticalDpi="180"/>
  <headerFooter alignWithMargins="0" scaleWithDoc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zoomScaleSheetLayoutView="60" workbookViewId="0">
      <selection activeCell="A1" sqref="A1:C32"/>
    </sheetView>
  </sheetViews>
  <sheetFormatPr defaultColWidth="9.14814814814815" defaultRowHeight="15"/>
  <cols>
    <col min="1" max="16384" width="9.14814814814815" customWidth="1"/>
  </cols>
  <sheetData>
    <row r="1" ht="31.5" spans="1:13">
      <c r="A1" s="1" t="s">
        <v>0</v>
      </c>
      <c r="B1" s="2"/>
      <c r="C1" s="2"/>
      <c r="D1" s="55"/>
      <c r="E1" s="3"/>
      <c r="F1" s="3"/>
      <c r="G1" s="3"/>
      <c r="H1" s="3"/>
      <c r="I1" s="3"/>
      <c r="J1" s="3"/>
      <c r="K1" s="3"/>
      <c r="L1" s="3"/>
      <c r="M1" s="4"/>
    </row>
    <row r="2" spans="1:13">
      <c r="A2" s="5"/>
      <c r="B2" s="5" t="s">
        <v>1</v>
      </c>
      <c r="C2" s="6" t="s">
        <v>2</v>
      </c>
      <c r="D2" s="56" t="s">
        <v>83</v>
      </c>
      <c r="E2" s="7"/>
      <c r="F2" s="8"/>
      <c r="G2" s="7" t="s">
        <v>1</v>
      </c>
      <c r="H2" s="7"/>
      <c r="I2" s="7"/>
      <c r="J2" s="7"/>
      <c r="K2" s="7" t="s">
        <v>84</v>
      </c>
      <c r="L2" s="7"/>
      <c r="M2" s="9"/>
    </row>
    <row r="3" spans="1:13">
      <c r="A3" s="10" t="s">
        <v>3</v>
      </c>
      <c r="B3" s="10"/>
      <c r="C3" s="10" t="s">
        <v>4</v>
      </c>
      <c r="D3" s="56" t="s">
        <v>85</v>
      </c>
      <c r="E3" s="7"/>
      <c r="F3" s="8"/>
      <c r="G3" s="7"/>
      <c r="H3" s="7"/>
      <c r="I3" s="7"/>
      <c r="J3" s="7"/>
      <c r="K3" s="7"/>
      <c r="L3" s="7"/>
      <c r="M3" s="9"/>
    </row>
    <row r="4" ht="15.75" spans="1:13">
      <c r="A4" s="11" t="s">
        <v>5</v>
      </c>
      <c r="B4" s="11" t="s">
        <v>6</v>
      </c>
      <c r="C4" s="11" t="s">
        <v>7</v>
      </c>
      <c r="D4" s="57" t="s">
        <v>86</v>
      </c>
      <c r="E4" s="13" t="s">
        <v>87</v>
      </c>
      <c r="F4" s="14" t="s">
        <v>88</v>
      </c>
      <c r="G4" s="15"/>
      <c r="H4" s="16"/>
      <c r="I4" s="13" t="s">
        <v>87</v>
      </c>
      <c r="J4" s="14" t="s">
        <v>89</v>
      </c>
      <c r="K4" s="17"/>
      <c r="L4" s="15"/>
      <c r="M4" s="9"/>
    </row>
    <row r="5" spans="1:13">
      <c r="A5" s="18" t="s">
        <v>8</v>
      </c>
      <c r="B5" s="19" t="e">
        <f>B6+B8+B9+B10+B11+B12+B13+B14+B15</f>
        <v>#VALUE!</v>
      </c>
      <c r="C5" s="19" t="e">
        <f>C6+C8+C9+C10+C11+C12+C13+C14+C15</f>
        <v>#VALUE!</v>
      </c>
      <c r="D5" s="58">
        <f>SUM(D6:D10)</f>
        <v>0</v>
      </c>
      <c r="E5" s="21" t="s">
        <v>90</v>
      </c>
      <c r="F5" s="22" t="s">
        <v>91</v>
      </c>
      <c r="G5" s="23" t="s">
        <v>92</v>
      </c>
      <c r="H5" s="23" t="s">
        <v>93</v>
      </c>
      <c r="I5" s="21" t="s">
        <v>90</v>
      </c>
      <c r="J5" s="22" t="s">
        <v>91</v>
      </c>
      <c r="K5" s="20" t="s">
        <v>92</v>
      </c>
      <c r="L5" s="24" t="s">
        <v>93</v>
      </c>
      <c r="M5" s="25"/>
    </row>
    <row r="6" spans="1:13">
      <c r="A6" s="26" t="s">
        <v>9</v>
      </c>
      <c r="B6" s="19" t="s">
        <v>10</v>
      </c>
      <c r="C6" s="19" t="s">
        <v>11</v>
      </c>
      <c r="D6" s="58" t="s">
        <v>94</v>
      </c>
      <c r="E6" s="27">
        <v>501</v>
      </c>
      <c r="F6" s="28" t="s">
        <v>95</v>
      </c>
      <c r="G6" s="19" t="s">
        <v>96</v>
      </c>
      <c r="H6" s="19" t="s">
        <v>97</v>
      </c>
      <c r="I6" s="27">
        <v>306</v>
      </c>
      <c r="J6" s="28" t="s">
        <v>98</v>
      </c>
      <c r="K6" s="29" t="e">
        <f>C12-G12</f>
        <v>#VALUE!</v>
      </c>
      <c r="L6" s="19" t="e">
        <f>D12-H12</f>
        <v>#VALUE!</v>
      </c>
      <c r="M6" s="30" t="s">
        <v>99</v>
      </c>
    </row>
    <row r="7" spans="1:13">
      <c r="A7" s="31" t="s">
        <v>12</v>
      </c>
      <c r="B7" s="19" t="s">
        <v>13</v>
      </c>
      <c r="C7" s="19" t="s">
        <v>14</v>
      </c>
      <c r="D7" s="58" t="s">
        <v>100</v>
      </c>
      <c r="E7" s="27">
        <v>516</v>
      </c>
      <c r="F7" s="32" t="s">
        <v>101</v>
      </c>
      <c r="G7" s="19" t="s">
        <v>102</v>
      </c>
      <c r="H7" s="19" t="s">
        <v>103</v>
      </c>
      <c r="I7" s="27"/>
      <c r="J7" s="32" t="s">
        <v>104</v>
      </c>
      <c r="K7" s="29"/>
      <c r="L7" s="19"/>
      <c r="M7" s="33">
        <f>E11-I11</f>
        <v>0</v>
      </c>
    </row>
    <row r="8" spans="1:13">
      <c r="A8" s="34" t="s">
        <v>15</v>
      </c>
      <c r="B8" s="19" t="s">
        <v>16</v>
      </c>
      <c r="C8" s="19" t="s">
        <v>17</v>
      </c>
      <c r="D8" s="58" t="s">
        <v>105</v>
      </c>
      <c r="E8" s="27">
        <v>517</v>
      </c>
      <c r="F8" s="32" t="s">
        <v>106</v>
      </c>
      <c r="G8" s="19" t="s">
        <v>107</v>
      </c>
      <c r="H8" s="19" t="s">
        <v>108</v>
      </c>
      <c r="I8" s="27"/>
      <c r="J8" s="32" t="s">
        <v>109</v>
      </c>
      <c r="K8" s="29"/>
      <c r="L8" s="19"/>
      <c r="M8" s="35"/>
    </row>
    <row r="9" spans="1:13">
      <c r="A9" s="34" t="s">
        <v>18</v>
      </c>
      <c r="B9" s="19" t="s">
        <v>19</v>
      </c>
      <c r="C9" s="19" t="s">
        <v>20</v>
      </c>
      <c r="D9" s="58" t="s">
        <v>110</v>
      </c>
      <c r="E9" s="27">
        <v>504</v>
      </c>
      <c r="F9" s="32" t="s">
        <v>111</v>
      </c>
      <c r="G9" s="19" t="s">
        <v>112</v>
      </c>
      <c r="H9" s="19" t="s">
        <v>113</v>
      </c>
      <c r="I9" s="27"/>
      <c r="J9" s="8"/>
      <c r="K9" s="29"/>
      <c r="L9" s="19"/>
      <c r="M9" s="35"/>
    </row>
    <row r="10" spans="1:13">
      <c r="A10" s="34" t="s">
        <v>21</v>
      </c>
      <c r="B10" s="19" t="s">
        <v>22</v>
      </c>
      <c r="C10" s="19" t="s">
        <v>23</v>
      </c>
      <c r="D10" s="58" t="s">
        <v>114</v>
      </c>
      <c r="E10" s="27">
        <v>520</v>
      </c>
      <c r="F10" s="32" t="s">
        <v>115</v>
      </c>
      <c r="G10" s="19" t="s">
        <v>116</v>
      </c>
      <c r="H10" s="19" t="s">
        <v>117</v>
      </c>
      <c r="I10" s="27"/>
      <c r="J10" s="32"/>
      <c r="K10" s="29"/>
      <c r="L10" s="19"/>
      <c r="M10" s="35"/>
    </row>
    <row r="11" spans="1:13">
      <c r="A11" s="26" t="s">
        <v>24</v>
      </c>
      <c r="B11" s="19" t="s">
        <v>25</v>
      </c>
      <c r="C11" s="19" t="s">
        <v>26</v>
      </c>
      <c r="D11" s="58">
        <f>SUM(D12:D15)</f>
        <v>0</v>
      </c>
      <c r="E11" s="27"/>
      <c r="F11" s="36"/>
      <c r="G11" s="19"/>
      <c r="H11" s="19"/>
      <c r="I11" s="27"/>
      <c r="J11" s="32"/>
      <c r="K11" s="29"/>
      <c r="L11" s="19"/>
      <c r="M11" s="37"/>
    </row>
    <row r="12" spans="1:13">
      <c r="A12" s="26" t="s">
        <v>27</v>
      </c>
      <c r="B12" s="19" t="s">
        <v>28</v>
      </c>
      <c r="C12" s="19" t="s">
        <v>29</v>
      </c>
      <c r="D12" s="58" t="s">
        <v>118</v>
      </c>
      <c r="E12" s="38"/>
      <c r="F12" s="39" t="s">
        <v>119</v>
      </c>
      <c r="G12" s="19" t="e">
        <f>G6+G7+G8+G9+G10+G11</f>
        <v>#VALUE!</v>
      </c>
      <c r="H12" s="19" t="e">
        <f>H6+H7+H8+H9+H10+H11</f>
        <v>#VALUE!</v>
      </c>
      <c r="I12" s="27"/>
      <c r="J12" s="32"/>
      <c r="K12" s="29"/>
      <c r="L12" s="19"/>
      <c r="M12" s="33">
        <f>E12-I12</f>
        <v>0</v>
      </c>
    </row>
    <row r="13" spans="1:13">
      <c r="A13" s="26" t="s">
        <v>30</v>
      </c>
      <c r="B13" s="19" t="s">
        <v>31</v>
      </c>
      <c r="C13" s="19" t="s">
        <v>32</v>
      </c>
      <c r="D13" s="58" t="s">
        <v>120</v>
      </c>
      <c r="E13" s="40">
        <v>505</v>
      </c>
      <c r="F13" s="28" t="s">
        <v>121</v>
      </c>
      <c r="G13" s="19" t="s">
        <v>122</v>
      </c>
      <c r="H13" s="19" t="s">
        <v>123</v>
      </c>
      <c r="I13" s="40">
        <v>307</v>
      </c>
      <c r="J13" s="32" t="s">
        <v>124</v>
      </c>
      <c r="K13" s="29" t="e">
        <f>C15-G15</f>
        <v>#VALUE!</v>
      </c>
      <c r="L13" s="19" t="e">
        <f>D15-H15</f>
        <v>#VALUE!</v>
      </c>
      <c r="M13" s="35"/>
    </row>
    <row r="14" spans="1:13">
      <c r="A14" s="26" t="s">
        <v>33</v>
      </c>
      <c r="B14" s="19" t="s">
        <v>34</v>
      </c>
      <c r="C14" s="19" t="s">
        <v>35</v>
      </c>
      <c r="D14" s="58" t="s">
        <v>125</v>
      </c>
      <c r="E14" s="27">
        <v>512</v>
      </c>
      <c r="F14" s="36" t="s">
        <v>126</v>
      </c>
      <c r="G14" s="19" t="s">
        <v>127</v>
      </c>
      <c r="H14" s="19" t="s">
        <v>128</v>
      </c>
      <c r="I14" s="27"/>
      <c r="J14" s="32" t="s">
        <v>129</v>
      </c>
      <c r="K14" s="29"/>
      <c r="L14" s="19"/>
      <c r="M14" s="35"/>
    </row>
    <row r="15" spans="1:13">
      <c r="A15" s="34" t="s">
        <v>36</v>
      </c>
      <c r="B15" s="19" t="s">
        <v>37</v>
      </c>
      <c r="C15" s="19" t="s">
        <v>38</v>
      </c>
      <c r="D15" s="58" t="s">
        <v>130</v>
      </c>
      <c r="E15" s="38"/>
      <c r="F15" s="39" t="s">
        <v>119</v>
      </c>
      <c r="G15" s="19" t="e">
        <f>G13+G14</f>
        <v>#VALUE!</v>
      </c>
      <c r="H15" s="19" t="e">
        <f>H13+H14</f>
        <v>#VALUE!</v>
      </c>
      <c r="I15" s="27"/>
      <c r="J15" s="32" t="s">
        <v>131</v>
      </c>
      <c r="K15" s="29"/>
      <c r="L15" s="19"/>
      <c r="M15" s="37"/>
    </row>
    <row r="16" spans="1:13">
      <c r="A16" s="34" t="s">
        <v>39</v>
      </c>
      <c r="B16" s="19" t="s">
        <v>40</v>
      </c>
      <c r="C16" s="19" t="s">
        <v>41</v>
      </c>
      <c r="D16" s="58">
        <f>D5-D11</f>
        <v>0</v>
      </c>
      <c r="E16" s="40">
        <v>502</v>
      </c>
      <c r="F16" s="28" t="s">
        <v>132</v>
      </c>
      <c r="G16" s="19" t="s">
        <v>133</v>
      </c>
      <c r="H16" s="19" t="s">
        <v>134</v>
      </c>
      <c r="I16" s="40">
        <v>308</v>
      </c>
      <c r="J16" s="32" t="s">
        <v>135</v>
      </c>
      <c r="K16" s="29" t="e">
        <f>K6+K13+C20-G20</f>
        <v>#VALUE!</v>
      </c>
      <c r="L16" s="19" t="e">
        <f>L6+L13+D20-H20</f>
        <v>#VALUE!</v>
      </c>
      <c r="M16" s="33">
        <f>M7+M12</f>
        <v>0</v>
      </c>
    </row>
    <row r="17" spans="1:13">
      <c r="A17" s="34" t="s">
        <v>42</v>
      </c>
      <c r="B17" s="19" t="s">
        <v>43</v>
      </c>
      <c r="C17" s="19" t="s">
        <v>44</v>
      </c>
      <c r="D17" s="58"/>
      <c r="E17" s="27">
        <v>503</v>
      </c>
      <c r="F17" s="32" t="s">
        <v>136</v>
      </c>
      <c r="G17" s="19" t="s">
        <v>137</v>
      </c>
      <c r="H17" s="19" t="s">
        <v>138</v>
      </c>
      <c r="I17" s="27"/>
      <c r="J17" s="32" t="s">
        <v>139</v>
      </c>
      <c r="K17" s="29"/>
      <c r="L17" s="19"/>
      <c r="M17" s="35"/>
    </row>
    <row r="18" spans="1:13">
      <c r="A18" s="34" t="s">
        <v>45</v>
      </c>
      <c r="B18" s="19" t="s">
        <v>46</v>
      </c>
      <c r="C18" s="19" t="s">
        <v>47</v>
      </c>
      <c r="D18" s="58" t="e">
        <f>D19-D20-D21</f>
        <v>#VALUE!</v>
      </c>
      <c r="E18" s="27"/>
      <c r="F18" s="32"/>
      <c r="G18" s="29"/>
      <c r="H18" s="19"/>
      <c r="I18" s="27"/>
      <c r="J18" s="32" t="s">
        <v>140</v>
      </c>
      <c r="K18" s="29"/>
      <c r="L18" s="19"/>
      <c r="M18" s="35"/>
    </row>
    <row r="19" spans="1:13">
      <c r="A19" s="18" t="s">
        <v>48</v>
      </c>
      <c r="B19" s="19" t="e">
        <f>B20+B21+B22+B23+B24+B25+B26+B27</f>
        <v>#VALUE!</v>
      </c>
      <c r="C19" s="19" t="e">
        <f>C20+C21+C22+C23+C24+C25+C26+C27</f>
        <v>#VALUE!</v>
      </c>
      <c r="D19" s="58" t="s">
        <v>141</v>
      </c>
      <c r="E19" s="27"/>
      <c r="F19" s="36"/>
      <c r="G19" s="29"/>
      <c r="H19" s="19"/>
      <c r="I19" s="27"/>
      <c r="J19" s="8" t="s">
        <v>142</v>
      </c>
      <c r="K19" s="29"/>
      <c r="L19" s="19"/>
      <c r="M19" s="35"/>
    </row>
    <row r="20" ht="15.75" spans="1:13">
      <c r="A20" s="26" t="s">
        <v>49</v>
      </c>
      <c r="B20" s="19" t="s">
        <v>50</v>
      </c>
      <c r="C20" s="19" t="s">
        <v>51</v>
      </c>
      <c r="D20" s="58" t="s">
        <v>143</v>
      </c>
      <c r="E20" s="38"/>
      <c r="F20" s="41" t="s">
        <v>119</v>
      </c>
      <c r="G20" s="29" t="e">
        <f>G16+G17+G18+G19</f>
        <v>#VALUE!</v>
      </c>
      <c r="H20" s="19" t="e">
        <f>H16+H17+H18+H19</f>
        <v>#VALUE!</v>
      </c>
      <c r="I20" s="27"/>
      <c r="J20" s="36" t="s">
        <v>144</v>
      </c>
      <c r="K20" s="29"/>
      <c r="L20" s="19"/>
      <c r="M20" s="42"/>
    </row>
    <row r="21" spans="1:13">
      <c r="A21" s="26" t="s">
        <v>52</v>
      </c>
      <c r="B21" s="19" t="s">
        <v>53</v>
      </c>
      <c r="C21" s="19" t="s">
        <v>54</v>
      </c>
      <c r="D21" s="58" t="s">
        <v>145</v>
      </c>
      <c r="E21" s="44" t="s">
        <v>146</v>
      </c>
      <c r="F21" s="44"/>
      <c r="G21" s="45" t="e">
        <f>G12+G15+G20</f>
        <v>#VALUE!</v>
      </c>
      <c r="H21" s="43" t="e">
        <f>H12+H15+H20</f>
        <v>#VALUE!</v>
      </c>
      <c r="I21" s="46"/>
      <c r="J21" s="47"/>
      <c r="K21" s="45"/>
      <c r="L21" s="43"/>
    </row>
    <row r="22" spans="1:13">
      <c r="A22" s="26" t="s">
        <v>55</v>
      </c>
      <c r="B22" s="19" t="s">
        <v>56</v>
      </c>
      <c r="C22" s="19" t="s">
        <v>57</v>
      </c>
      <c r="D22" s="59" t="s">
        <v>147</v>
      </c>
    </row>
    <row r="23" spans="1:13">
      <c r="A23" s="26" t="s">
        <v>58</v>
      </c>
      <c r="B23" s="19" t="s">
        <v>59</v>
      </c>
      <c r="C23" s="19" t="s">
        <v>60</v>
      </c>
      <c r="D23" s="58" t="s">
        <v>148</v>
      </c>
      <c r="E23" s="7"/>
      <c r="F23" s="48" t="s">
        <v>149</v>
      </c>
      <c r="G23" s="7"/>
      <c r="H23" s="8"/>
      <c r="I23" s="8"/>
      <c r="J23" s="48" t="s">
        <v>150</v>
      </c>
      <c r="K23" s="7"/>
      <c r="L23" s="7"/>
    </row>
    <row r="24" spans="1:13">
      <c r="A24" s="26" t="s">
        <v>61</v>
      </c>
      <c r="B24" s="19" t="s">
        <v>62</v>
      </c>
      <c r="C24" s="19" t="s">
        <v>63</v>
      </c>
      <c r="D24" s="59" t="s">
        <v>147</v>
      </c>
      <c r="E24" s="49"/>
      <c r="F24" s="19"/>
      <c r="G24" s="19"/>
      <c r="H24" s="49"/>
      <c r="I24" s="19"/>
      <c r="J24" s="19"/>
    </row>
    <row r="25" spans="1:13">
      <c r="A25" s="26" t="s">
        <v>64</v>
      </c>
      <c r="B25" s="19" t="s">
        <v>65</v>
      </c>
      <c r="C25" s="19" t="s">
        <v>66</v>
      </c>
      <c r="D25" s="59" t="s">
        <v>151</v>
      </c>
      <c r="E25" s="50" t="s">
        <v>119</v>
      </c>
      <c r="F25" s="19" t="e">
        <f>F20+F21+F22+F23</f>
        <v>#VALUE!</v>
      </c>
      <c r="G25" s="19" t="e">
        <f>G20+G21+G22+G23</f>
        <v>#VALUE!</v>
      </c>
      <c r="H25" s="49" t="s">
        <v>142</v>
      </c>
      <c r="I25" s="19"/>
      <c r="J25" s="19"/>
    </row>
    <row r="26" spans="1:13">
      <c r="A26" s="26" t="s">
        <v>67</v>
      </c>
      <c r="B26" s="19" t="s">
        <v>68</v>
      </c>
      <c r="C26" s="19" t="s">
        <v>69</v>
      </c>
      <c r="D26" s="59" t="s">
        <v>152</v>
      </c>
      <c r="E26" s="51" t="s">
        <v>153</v>
      </c>
      <c r="F26" s="43" t="e">
        <f>F13+F19+F25</f>
        <v>#VALUE!</v>
      </c>
      <c r="G26" s="43" t="e">
        <f>G13+G19+G25</f>
        <v>#VALUE!</v>
      </c>
      <c r="H26" s="28" t="s">
        <v>144</v>
      </c>
      <c r="I26" s="43"/>
      <c r="J26" s="43"/>
    </row>
    <row r="27" spans="1:13">
      <c r="A27" s="26" t="s">
        <v>70</v>
      </c>
      <c r="B27" s="19" t="s">
        <v>71</v>
      </c>
      <c r="C27" s="19" t="s">
        <v>72</v>
      </c>
      <c r="D27" s="60"/>
    </row>
    <row r="28" spans="1:13">
      <c r="A28" s="34" t="s">
        <v>73</v>
      </c>
      <c r="B28" s="19" t="s">
        <v>74</v>
      </c>
      <c r="C28" s="19" t="s">
        <v>75</v>
      </c>
      <c r="E28" s="48" t="s">
        <v>149</v>
      </c>
      <c r="F28" s="7"/>
      <c r="G28" s="8"/>
      <c r="H28" s="48" t="s">
        <v>150</v>
      </c>
      <c r="I28" s="7"/>
      <c r="J28" s="7"/>
    </row>
    <row r="29" spans="1:13">
      <c r="A29" s="34" t="s">
        <v>76</v>
      </c>
      <c r="B29" s="19" t="s">
        <v>77</v>
      </c>
      <c r="C29" s="19" t="s">
        <v>78</v>
      </c>
      <c r="E29" s="48" t="s">
        <v>149</v>
      </c>
      <c r="F29" s="7"/>
      <c r="G29" s="8"/>
      <c r="H29" s="48" t="s">
        <v>150</v>
      </c>
      <c r="I29" s="7"/>
      <c r="J29" s="7"/>
    </row>
    <row r="30" spans="1:13">
      <c r="A30" s="18" t="s">
        <v>79</v>
      </c>
      <c r="B30" s="52" t="e">
        <f>B5-B19</f>
        <v>#VALUE!</v>
      </c>
      <c r="C30" s="52" t="e">
        <f>C5-C19</f>
        <v>#VALUE!</v>
      </c>
    </row>
    <row r="31" spans="1:13">
      <c r="A31" s="10" t="s">
        <v>80</v>
      </c>
      <c r="B31" s="10" t="s">
        <v>81</v>
      </c>
      <c r="C31" s="10" t="s">
        <v>82</v>
      </c>
    </row>
    <row r="32" spans="1:13">
      <c r="A32" s="53"/>
      <c r="B32" s="54"/>
      <c r="C32" s="54"/>
    </row>
    <row r="33" spans="1:3">
      <c r="A33" s="53"/>
      <c r="B33" s="54"/>
      <c r="C33" s="54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"/>
  <sheetViews>
    <sheetView zoomScaleSheetLayoutView="60" workbookViewId="0">
      <selection activeCell="A1" sqref="A1:C33"/>
    </sheetView>
  </sheetViews>
  <sheetFormatPr defaultColWidth="9.14814814814815" defaultRowHeight="15"/>
  <cols>
    <col min="1" max="16384" width="9.14814814814815" customWidth="1"/>
  </cols>
  <sheetData>
    <row r="1" ht="31.5" spans="1:13">
      <c r="A1" s="1" t="s">
        <v>0</v>
      </c>
      <c r="B1" s="2"/>
      <c r="C1" s="2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>
      <c r="A2" s="5"/>
      <c r="B2" s="5" t="s">
        <v>154</v>
      </c>
      <c r="C2" s="6" t="s">
        <v>155</v>
      </c>
      <c r="D2" s="7"/>
      <c r="E2" s="7"/>
      <c r="F2" s="8"/>
      <c r="G2" s="7" t="s">
        <v>156</v>
      </c>
      <c r="H2" s="7"/>
      <c r="I2" s="7"/>
      <c r="J2" s="7"/>
      <c r="K2" s="7" t="s">
        <v>84</v>
      </c>
      <c r="L2" s="7"/>
      <c r="M2" s="9"/>
    </row>
    <row r="3" spans="1:13">
      <c r="A3" s="10" t="s">
        <v>157</v>
      </c>
      <c r="B3" s="10"/>
      <c r="C3" s="10" t="s">
        <v>4</v>
      </c>
      <c r="D3" s="7"/>
      <c r="E3" s="7"/>
      <c r="F3" s="8"/>
      <c r="G3" s="7"/>
      <c r="H3" s="7"/>
      <c r="I3" s="7"/>
      <c r="J3" s="7"/>
      <c r="K3" s="7"/>
      <c r="L3" s="7"/>
      <c r="M3" s="9"/>
    </row>
    <row r="4" ht="15.75" spans="1:13">
      <c r="A4" s="11" t="s">
        <v>5</v>
      </c>
      <c r="B4" s="11" t="s">
        <v>6</v>
      </c>
      <c r="C4" s="11" t="s">
        <v>7</v>
      </c>
      <c r="D4" s="12"/>
      <c r="E4" s="13" t="s">
        <v>87</v>
      </c>
      <c r="F4" s="14" t="s">
        <v>88</v>
      </c>
      <c r="G4" s="15"/>
      <c r="H4" s="16"/>
      <c r="I4" s="13" t="s">
        <v>87</v>
      </c>
      <c r="J4" s="14" t="s">
        <v>89</v>
      </c>
      <c r="K4" s="17"/>
      <c r="L4" s="15"/>
      <c r="M4" s="9"/>
    </row>
    <row r="5" spans="1:13">
      <c r="A5" s="18" t="s">
        <v>8</v>
      </c>
      <c r="B5" s="19">
        <f>B6+B8+B9+B10+B11+B12+B13+B14+B15+B16</f>
        <v>0</v>
      </c>
      <c r="C5" s="19">
        <f>C6+C8+C9+C10+C11+C12+C13+C14+C15+C16</f>
        <v>0</v>
      </c>
      <c r="D5" s="20" t="s">
        <v>93</v>
      </c>
      <c r="E5" s="21" t="s">
        <v>90</v>
      </c>
      <c r="F5" s="22" t="s">
        <v>91</v>
      </c>
      <c r="G5" s="23" t="s">
        <v>92</v>
      </c>
      <c r="H5" s="23" t="s">
        <v>93</v>
      </c>
      <c r="I5" s="21" t="s">
        <v>90</v>
      </c>
      <c r="J5" s="22" t="s">
        <v>91</v>
      </c>
      <c r="K5" s="20" t="s">
        <v>92</v>
      </c>
      <c r="L5" s="24" t="s">
        <v>93</v>
      </c>
      <c r="M5" s="25"/>
    </row>
    <row r="6" spans="1:13">
      <c r="A6" s="26" t="s">
        <v>9</v>
      </c>
      <c r="B6" s="19">
        <f t="shared" ref="B6:B19" si="0">0</f>
        <v>0</v>
      </c>
      <c r="C6" s="19">
        <f t="shared" ref="C6:C19" si="1">0</f>
        <v>0</v>
      </c>
      <c r="D6" s="19">
        <f>0</f>
        <v>0</v>
      </c>
      <c r="E6" s="27">
        <v>501</v>
      </c>
      <c r="F6" s="28" t="s">
        <v>95</v>
      </c>
      <c r="G6" s="29">
        <f>0</f>
        <v>0</v>
      </c>
      <c r="H6" s="19">
        <f>0</f>
        <v>0</v>
      </c>
      <c r="I6" s="27">
        <v>306</v>
      </c>
      <c r="J6" s="28" t="s">
        <v>98</v>
      </c>
      <c r="K6" s="29">
        <f>C12-G12</f>
        <v>0</v>
      </c>
      <c r="L6" s="19">
        <f>D12-H12</f>
        <v>0</v>
      </c>
      <c r="M6" s="30" t="s">
        <v>99</v>
      </c>
    </row>
    <row r="7" spans="1:13">
      <c r="A7" s="31" t="s">
        <v>12</v>
      </c>
      <c r="B7" s="19">
        <f t="shared" si="0"/>
        <v>0</v>
      </c>
      <c r="C7" s="19">
        <f t="shared" si="1"/>
        <v>0</v>
      </c>
      <c r="D7" s="19">
        <f>0</f>
        <v>0</v>
      </c>
      <c r="E7" s="27">
        <v>516</v>
      </c>
      <c r="F7" s="32" t="s">
        <v>101</v>
      </c>
      <c r="G7" s="29">
        <f>0</f>
        <v>0</v>
      </c>
      <c r="H7" s="19">
        <f>0</f>
        <v>0</v>
      </c>
      <c r="I7" s="27"/>
      <c r="J7" s="32" t="s">
        <v>104</v>
      </c>
      <c r="K7" s="29"/>
      <c r="L7" s="19"/>
      <c r="M7" s="33">
        <f>E11-I11</f>
        <v>0</v>
      </c>
    </row>
    <row r="8" spans="1:13">
      <c r="A8" s="34" t="s">
        <v>15</v>
      </c>
      <c r="B8" s="19">
        <f t="shared" si="0"/>
        <v>0</v>
      </c>
      <c r="C8" s="19">
        <f t="shared" si="1"/>
        <v>0</v>
      </c>
      <c r="D8" s="19">
        <f>0</f>
        <v>0</v>
      </c>
      <c r="E8" s="27">
        <v>517</v>
      </c>
      <c r="F8" s="32" t="s">
        <v>106</v>
      </c>
      <c r="G8" s="29">
        <f>0</f>
        <v>0</v>
      </c>
      <c r="H8" s="19">
        <f>0</f>
        <v>0</v>
      </c>
      <c r="I8" s="27"/>
      <c r="J8" s="32" t="s">
        <v>109</v>
      </c>
      <c r="K8" s="29"/>
      <c r="L8" s="19"/>
      <c r="M8" s="35"/>
    </row>
    <row r="9" spans="1:13">
      <c r="A9" s="34" t="s">
        <v>18</v>
      </c>
      <c r="B9" s="19">
        <f t="shared" si="0"/>
        <v>0</v>
      </c>
      <c r="C9" s="19">
        <f t="shared" si="1"/>
        <v>0</v>
      </c>
      <c r="D9" s="19">
        <f>0</f>
        <v>0</v>
      </c>
      <c r="E9" s="27">
        <v>504</v>
      </c>
      <c r="F9" s="32" t="s">
        <v>111</v>
      </c>
      <c r="G9" s="29">
        <f>0</f>
        <v>0</v>
      </c>
      <c r="H9" s="19">
        <f>0</f>
        <v>0</v>
      </c>
      <c r="I9" s="27"/>
      <c r="J9" s="8"/>
      <c r="K9" s="29"/>
      <c r="L9" s="19"/>
      <c r="M9" s="35"/>
    </row>
    <row r="10" spans="1:13">
      <c r="A10" s="34" t="s">
        <v>21</v>
      </c>
      <c r="B10" s="19">
        <f t="shared" si="0"/>
        <v>0</v>
      </c>
      <c r="C10" s="19">
        <f t="shared" si="1"/>
        <v>0</v>
      </c>
      <c r="D10" s="19">
        <f>0</f>
        <v>0</v>
      </c>
      <c r="E10" s="27">
        <v>520</v>
      </c>
      <c r="F10" s="32" t="s">
        <v>115</v>
      </c>
      <c r="G10" s="29">
        <f>0</f>
        <v>0</v>
      </c>
      <c r="H10" s="19">
        <f>0</f>
        <v>0</v>
      </c>
      <c r="I10" s="27"/>
      <c r="J10" s="32"/>
      <c r="K10" s="29"/>
      <c r="L10" s="19"/>
      <c r="M10" s="35"/>
    </row>
    <row r="11" spans="1:13">
      <c r="A11" s="26" t="s">
        <v>24</v>
      </c>
      <c r="B11" s="19">
        <f t="shared" si="0"/>
        <v>0</v>
      </c>
      <c r="C11" s="19">
        <f t="shared" si="1"/>
        <v>0</v>
      </c>
      <c r="D11" s="19"/>
      <c r="E11" s="27"/>
      <c r="F11" s="36"/>
      <c r="G11" s="29"/>
      <c r="H11" s="19"/>
      <c r="I11" s="27"/>
      <c r="J11" s="32"/>
      <c r="K11" s="29"/>
      <c r="L11" s="19"/>
      <c r="M11" s="37"/>
    </row>
    <row r="12" spans="1:13">
      <c r="A12" s="26" t="s">
        <v>27</v>
      </c>
      <c r="B12" s="19">
        <f t="shared" si="0"/>
        <v>0</v>
      </c>
      <c r="C12" s="19">
        <f t="shared" si="1"/>
        <v>0</v>
      </c>
      <c r="D12" s="19">
        <f>D6+D7+D8+D9+D10+D11</f>
        <v>0</v>
      </c>
      <c r="E12" s="38"/>
      <c r="F12" s="39" t="s">
        <v>119</v>
      </c>
      <c r="G12" s="29">
        <f>G6+G7+G8+G9+G10+G11</f>
        <v>0</v>
      </c>
      <c r="H12" s="19">
        <f>H6+H7+H8+H9+H10+H11</f>
        <v>0</v>
      </c>
      <c r="I12" s="27"/>
      <c r="J12" s="32"/>
      <c r="K12" s="29"/>
      <c r="L12" s="19"/>
      <c r="M12" s="33">
        <f>E12-I12</f>
        <v>0</v>
      </c>
    </row>
    <row r="13" spans="1:13">
      <c r="A13" s="26" t="s">
        <v>30</v>
      </c>
      <c r="B13" s="19">
        <f t="shared" si="0"/>
        <v>0</v>
      </c>
      <c r="C13" s="19">
        <f t="shared" si="1"/>
        <v>0</v>
      </c>
      <c r="D13" s="19">
        <f>0</f>
        <v>0</v>
      </c>
      <c r="E13" s="40">
        <v>505</v>
      </c>
      <c r="F13" s="28" t="s">
        <v>121</v>
      </c>
      <c r="G13" s="29">
        <f>0</f>
        <v>0</v>
      </c>
      <c r="H13" s="19">
        <f>0</f>
        <v>0</v>
      </c>
      <c r="I13" s="40">
        <v>307</v>
      </c>
      <c r="J13" s="32" t="s">
        <v>124</v>
      </c>
      <c r="K13" s="29">
        <f>C15-G15</f>
        <v>0</v>
      </c>
      <c r="L13" s="19">
        <f>D15-H15</f>
        <v>0</v>
      </c>
      <c r="M13" s="35"/>
    </row>
    <row r="14" spans="1:13">
      <c r="A14" s="26" t="s">
        <v>33</v>
      </c>
      <c r="B14" s="19">
        <f t="shared" si="0"/>
        <v>0</v>
      </c>
      <c r="C14" s="19">
        <f t="shared" si="1"/>
        <v>0</v>
      </c>
      <c r="D14" s="19"/>
      <c r="E14" s="27">
        <v>512</v>
      </c>
      <c r="F14" s="36" t="s">
        <v>126</v>
      </c>
      <c r="G14" s="29">
        <f>0</f>
        <v>0</v>
      </c>
      <c r="H14" s="19">
        <f>0</f>
        <v>0</v>
      </c>
      <c r="I14" s="27"/>
      <c r="J14" s="32" t="s">
        <v>129</v>
      </c>
      <c r="K14" s="29"/>
      <c r="L14" s="19"/>
      <c r="M14" s="35"/>
    </row>
    <row r="15" spans="1:13">
      <c r="A15" s="34" t="s">
        <v>158</v>
      </c>
      <c r="B15" s="19">
        <f t="shared" si="0"/>
        <v>0</v>
      </c>
      <c r="C15" s="19">
        <f t="shared" si="1"/>
        <v>0</v>
      </c>
      <c r="D15" s="19">
        <f>D13+D14</f>
        <v>0</v>
      </c>
      <c r="E15" s="38"/>
      <c r="F15" s="39" t="s">
        <v>119</v>
      </c>
      <c r="G15" s="29">
        <f>G13+G14</f>
        <v>0</v>
      </c>
      <c r="H15" s="19">
        <f>H13+H14</f>
        <v>0</v>
      </c>
      <c r="I15" s="27"/>
      <c r="J15" s="32" t="s">
        <v>131</v>
      </c>
      <c r="K15" s="29"/>
      <c r="L15" s="19"/>
      <c r="M15" s="37"/>
    </row>
    <row r="16" spans="1:13">
      <c r="A16" s="34" t="s">
        <v>36</v>
      </c>
      <c r="B16" s="19">
        <f t="shared" si="0"/>
        <v>0</v>
      </c>
      <c r="C16" s="19">
        <f t="shared" si="1"/>
        <v>0</v>
      </c>
      <c r="D16" s="19">
        <f>0</f>
        <v>0</v>
      </c>
      <c r="E16" s="40">
        <v>502</v>
      </c>
      <c r="F16" s="28" t="s">
        <v>132</v>
      </c>
      <c r="G16" s="29">
        <f>0</f>
        <v>0</v>
      </c>
      <c r="H16" s="19">
        <f>0</f>
        <v>0</v>
      </c>
      <c r="I16" s="40">
        <v>308</v>
      </c>
      <c r="J16" s="32" t="s">
        <v>135</v>
      </c>
      <c r="K16" s="29">
        <f>K6+K13+C20-G20</f>
        <v>0</v>
      </c>
      <c r="L16" s="19">
        <f>L6+L13+D20-H20</f>
        <v>0</v>
      </c>
      <c r="M16" s="33">
        <f>M7+M12</f>
        <v>0</v>
      </c>
    </row>
    <row r="17" spans="1:13">
      <c r="A17" s="34" t="s">
        <v>39</v>
      </c>
      <c r="B17" s="19">
        <f t="shared" si="0"/>
        <v>0</v>
      </c>
      <c r="C17" s="19">
        <f t="shared" si="1"/>
        <v>0</v>
      </c>
      <c r="D17" s="19"/>
      <c r="E17" s="27">
        <v>503</v>
      </c>
      <c r="F17" s="32" t="s">
        <v>136</v>
      </c>
      <c r="G17" s="29">
        <f>0</f>
        <v>0</v>
      </c>
      <c r="H17" s="19">
        <f>0</f>
        <v>0</v>
      </c>
      <c r="I17" s="27"/>
      <c r="J17" s="32" t="s">
        <v>139</v>
      </c>
      <c r="K17" s="29"/>
      <c r="L17" s="19"/>
      <c r="M17" s="35"/>
    </row>
    <row r="18" spans="1:13">
      <c r="A18" s="34" t="s">
        <v>42</v>
      </c>
      <c r="B18" s="19">
        <f t="shared" si="0"/>
        <v>0</v>
      </c>
      <c r="C18" s="19">
        <f t="shared" si="1"/>
        <v>0</v>
      </c>
      <c r="D18" s="19"/>
      <c r="E18" s="27"/>
      <c r="F18" s="32"/>
      <c r="G18" s="29"/>
      <c r="H18" s="19"/>
      <c r="I18" s="27"/>
      <c r="J18" s="32" t="s">
        <v>140</v>
      </c>
      <c r="K18" s="29"/>
      <c r="L18" s="19"/>
      <c r="M18" s="35"/>
    </row>
    <row r="19" spans="1:13">
      <c r="A19" s="34" t="s">
        <v>45</v>
      </c>
      <c r="B19" s="19">
        <f t="shared" si="0"/>
        <v>0</v>
      </c>
      <c r="C19" s="19">
        <f t="shared" si="1"/>
        <v>0</v>
      </c>
      <c r="D19" s="19"/>
      <c r="E19" s="27"/>
      <c r="F19" s="36"/>
      <c r="G19" s="29"/>
      <c r="H19" s="19"/>
      <c r="I19" s="27"/>
      <c r="J19" s="8" t="s">
        <v>142</v>
      </c>
      <c r="K19" s="29"/>
      <c r="L19" s="19"/>
      <c r="M19" s="35"/>
    </row>
    <row r="20" ht="15.75" spans="1:13">
      <c r="A20" s="18" t="s">
        <v>48</v>
      </c>
      <c r="B20" s="19">
        <f>B21+B22+B23+B24+B25+B26+B27+B28</f>
        <v>0</v>
      </c>
      <c r="C20" s="19">
        <f>C21+C22+C23+C24+C25+C26+C27+C28</f>
        <v>0</v>
      </c>
      <c r="D20" s="19">
        <f>D16+D17+D18+D19</f>
        <v>0</v>
      </c>
      <c r="E20" s="38"/>
      <c r="F20" s="41" t="s">
        <v>119</v>
      </c>
      <c r="G20" s="29">
        <f>G16+G17+G18+G19</f>
        <v>0</v>
      </c>
      <c r="H20" s="19">
        <f>H16+H17+H18+H19</f>
        <v>0</v>
      </c>
      <c r="I20" s="27"/>
      <c r="J20" s="36" t="s">
        <v>144</v>
      </c>
      <c r="K20" s="29"/>
      <c r="L20" s="19"/>
      <c r="M20" s="42"/>
    </row>
    <row r="21" spans="1:13">
      <c r="A21" s="26" t="s">
        <v>49</v>
      </c>
      <c r="B21" s="19">
        <f t="shared" ref="B21:B30" si="2">0</f>
        <v>0</v>
      </c>
      <c r="C21" s="19">
        <f t="shared" ref="C21:C30" si="3">0</f>
        <v>0</v>
      </c>
      <c r="D21" s="43">
        <f>D12+D15+D20</f>
        <v>0</v>
      </c>
      <c r="E21" s="44" t="s">
        <v>146</v>
      </c>
      <c r="F21" s="44"/>
      <c r="G21" s="45">
        <f>G12+G15+G20</f>
        <v>0</v>
      </c>
      <c r="H21" s="43">
        <f>H12+H15+H20</f>
        <v>0</v>
      </c>
      <c r="I21" s="46"/>
      <c r="J21" s="47"/>
      <c r="K21" s="45"/>
      <c r="L21" s="43"/>
    </row>
    <row r="22" spans="1:13">
      <c r="A22" s="26" t="s">
        <v>52</v>
      </c>
      <c r="B22" s="19">
        <f t="shared" si="2"/>
        <v>0</v>
      </c>
      <c r="C22" s="19">
        <f t="shared" si="3"/>
        <v>0</v>
      </c>
    </row>
    <row r="23" spans="1:13">
      <c r="A23" s="26" t="s">
        <v>55</v>
      </c>
      <c r="B23" s="19">
        <f t="shared" si="2"/>
        <v>0</v>
      </c>
      <c r="C23" s="19">
        <f t="shared" si="3"/>
        <v>0</v>
      </c>
      <c r="D23" s="7"/>
      <c r="E23" s="7"/>
      <c r="F23" s="48" t="s">
        <v>149</v>
      </c>
      <c r="G23" s="7"/>
      <c r="H23" s="8"/>
      <c r="I23" s="8"/>
      <c r="J23" s="48" t="s">
        <v>150</v>
      </c>
      <c r="K23" s="7"/>
      <c r="L23" s="7"/>
    </row>
    <row r="24" spans="1:13">
      <c r="A24" s="26" t="s">
        <v>58</v>
      </c>
      <c r="B24" s="19">
        <f t="shared" si="2"/>
        <v>0</v>
      </c>
      <c r="C24" s="19">
        <f t="shared" si="3"/>
        <v>0</v>
      </c>
      <c r="D24" s="19"/>
      <c r="E24" s="49"/>
      <c r="F24" s="19"/>
      <c r="G24" s="19"/>
      <c r="H24" s="49"/>
      <c r="I24" s="19"/>
      <c r="J24" s="19"/>
    </row>
    <row r="25" spans="1:13">
      <c r="A25" s="26" t="s">
        <v>61</v>
      </c>
      <c r="B25" s="19">
        <f t="shared" si="2"/>
        <v>0</v>
      </c>
      <c r="C25" s="19">
        <f t="shared" si="3"/>
        <v>0</v>
      </c>
      <c r="D25" s="19">
        <f>D20+D21+D22+D23</f>
        <v>0</v>
      </c>
      <c r="E25" s="50" t="s">
        <v>119</v>
      </c>
      <c r="F25" s="19" t="e">
        <f>F20+F21+F22+F23</f>
        <v>#VALUE!</v>
      </c>
      <c r="G25" s="19">
        <f>G20+G21+G22+G23</f>
        <v>0</v>
      </c>
      <c r="H25" s="49" t="s">
        <v>142</v>
      </c>
      <c r="I25" s="19"/>
      <c r="J25" s="19"/>
    </row>
    <row r="26" spans="1:13">
      <c r="A26" s="26" t="s">
        <v>64</v>
      </c>
      <c r="B26" s="19">
        <f t="shared" si="2"/>
        <v>0</v>
      </c>
      <c r="C26" s="19">
        <f t="shared" si="3"/>
        <v>0</v>
      </c>
      <c r="D26" s="43">
        <f>D13+D19+D25</f>
        <v>0</v>
      </c>
      <c r="E26" s="51" t="s">
        <v>153</v>
      </c>
      <c r="F26" s="43" t="e">
        <f>F13+F19+F25</f>
        <v>#VALUE!</v>
      </c>
      <c r="G26" s="43">
        <f>G13+G19+G25</f>
        <v>0</v>
      </c>
      <c r="H26" s="28" t="s">
        <v>144</v>
      </c>
      <c r="I26" s="43"/>
      <c r="J26" s="43"/>
    </row>
    <row r="27" spans="1:13">
      <c r="A27" s="26" t="s">
        <v>67</v>
      </c>
      <c r="B27" s="19">
        <f t="shared" si="2"/>
        <v>0</v>
      </c>
      <c r="C27" s="19">
        <f t="shared" si="3"/>
        <v>0</v>
      </c>
    </row>
    <row r="28" spans="1:13">
      <c r="A28" s="26" t="s">
        <v>70</v>
      </c>
      <c r="B28" s="19">
        <f t="shared" si="2"/>
        <v>0</v>
      </c>
      <c r="C28" s="19">
        <f t="shared" si="3"/>
        <v>0</v>
      </c>
      <c r="D28" s="7"/>
      <c r="E28" s="48" t="s">
        <v>149</v>
      </c>
      <c r="F28" s="7"/>
      <c r="G28" s="8"/>
      <c r="H28" s="48" t="s">
        <v>150</v>
      </c>
      <c r="I28" s="7"/>
      <c r="J28" s="7"/>
    </row>
    <row r="29" spans="1:13">
      <c r="A29" s="34" t="s">
        <v>73</v>
      </c>
      <c r="B29" s="19">
        <f t="shared" si="2"/>
        <v>0</v>
      </c>
      <c r="C29" s="19">
        <f t="shared" si="3"/>
        <v>0</v>
      </c>
    </row>
    <row r="30" spans="1:13">
      <c r="A30" s="34" t="s">
        <v>76</v>
      </c>
      <c r="B30" s="19">
        <f t="shared" si="2"/>
        <v>0</v>
      </c>
      <c r="C30" s="19">
        <f t="shared" si="3"/>
        <v>0</v>
      </c>
    </row>
    <row r="31" spans="1:13">
      <c r="A31" s="18" t="s">
        <v>79</v>
      </c>
      <c r="B31" s="52">
        <f>B5-B20</f>
        <v>0</v>
      </c>
      <c r="C31" s="52">
        <f>C5-C20</f>
        <v>0</v>
      </c>
    </row>
    <row r="32" spans="1:13">
      <c r="A32" s="10" t="s">
        <v>80</v>
      </c>
      <c r="B32" s="10" t="s">
        <v>81</v>
      </c>
      <c r="C32" s="10" t="s">
        <v>82</v>
      </c>
    </row>
    <row r="33" spans="1:3">
      <c r="A33" s="53"/>
      <c r="B33" s="54"/>
      <c r="C33" s="54"/>
    </row>
  </sheetData>
  <printOptions gridLines="1"/>
  <pageMargins left="0.75" right="0.75" top="1" bottom="1" header="0.5" footer="0.5"/>
  <headerFooter alignWithMargins="0" scaleWithDoc="0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工会事业单位收入支出表(定义)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罗钧</cp:lastModifiedBy>
  <dcterms:created xsi:type="dcterms:W3CDTF">2026-05-19T09:25:43Z</dcterms:created>
  <dcterms:modified xsi:type="dcterms:W3CDTF">2026-05-19T09:25:51Z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475149B781744BF694D5303B1F26F311_13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