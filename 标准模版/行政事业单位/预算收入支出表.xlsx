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工会事业单位收入支出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<sst xmlns="http://schemas.openxmlformats.org/spreadsheetml/2006/main" count="339" uniqueCount="159">
  <si>
    <t>预算收入支出表</t>
  </si>
  <si>
    <t>%YH%MH%DH</t>
  </si>
  <si>
    <t>会政预01表</t>
  </si>
  <si>
    <t xml:space="preserve">编制单位:%U      </t>
  </si>
  <si>
    <t xml:space="preserve">                   单位:元</t>
  </si>
  <si>
    <t xml:space="preserve">项 目 </t>
  </si>
  <si>
    <t xml:space="preserve">本年数 </t>
  </si>
  <si>
    <t xml:space="preserve">上年数 </t>
  </si>
  <si>
    <t>一、本年预算收入</t>
  </si>
  <si>
    <t xml:space="preserve">（一）财政拨款预算收入 </t>
  </si>
  <si>
    <t>@jqy(6001,01,99)</t>
  </si>
  <si>
    <t>@jqy(6001,101,199)</t>
  </si>
  <si>
    <t xml:space="preserve">      其中：政府性基金收入</t>
  </si>
  <si>
    <t>@jqy(600104,01,99)</t>
  </si>
  <si>
    <t>@jqy(600104,101,199)</t>
  </si>
  <si>
    <t xml:space="preserve">（二）事业预算收入 </t>
  </si>
  <si>
    <t>@jqy(6101,01,99)</t>
  </si>
  <si>
    <t>@jqy(6101,101,199)</t>
  </si>
  <si>
    <t xml:space="preserve">（三）上级补助预算收入 </t>
  </si>
  <si>
    <t>@jqy(6201,01,99)</t>
  </si>
  <si>
    <t>@jqy(6201,101,199)</t>
  </si>
  <si>
    <t xml:space="preserve">（四）附属单位上缴预算收入 </t>
  </si>
  <si>
    <t>@jqy(6301,01,99)</t>
  </si>
  <si>
    <t>@jqy(6301,101,199)</t>
  </si>
  <si>
    <t xml:space="preserve">（五）经营预算收入 </t>
  </si>
  <si>
    <t>@jqy(6401,01,99)</t>
  </si>
  <si>
    <t>@jqy(6401,101,199)</t>
  </si>
  <si>
    <t xml:space="preserve">（六）债务预算收入 </t>
  </si>
  <si>
    <t>@jqy(6501,01,99)</t>
  </si>
  <si>
    <t>@jqy(6501,101,199)</t>
  </si>
  <si>
    <t xml:space="preserve">（七）非同级财政拨款预算收入 </t>
  </si>
  <si>
    <t>@jqy(6601,01,99)</t>
  </si>
  <si>
    <t>@jqy(6601,101,199)</t>
  </si>
  <si>
    <t xml:space="preserve">（八）投资预算收益 </t>
  </si>
  <si>
    <t>@jqy(6602,01,99)</t>
  </si>
  <si>
    <t>@jqy(6602,101,199)</t>
  </si>
  <si>
    <t xml:space="preserve">（九）其他预算收入 </t>
  </si>
  <si>
    <t>@jqy(6609,01,99)</t>
  </si>
  <si>
    <t>@jqy(6609,101,199)</t>
  </si>
  <si>
    <t xml:space="preserve">      其中：利息预算收入</t>
  </si>
  <si>
    <t>@jqy(660902,01,99)</t>
  </si>
  <si>
    <t>@jqy(660902,101,199)</t>
  </si>
  <si>
    <t xml:space="preserve">            捐赠预算收入</t>
  </si>
  <si>
    <t>@jqy(660901,01,99)</t>
  </si>
  <si>
    <t>@jqy(660901,101,199)</t>
  </si>
  <si>
    <t xml:space="preserve">            租金预算收入</t>
  </si>
  <si>
    <t>@jqy(660903,01,99)</t>
  </si>
  <si>
    <t>@jqy(660903,101,199)</t>
  </si>
  <si>
    <t>二、本年预算支出</t>
  </si>
  <si>
    <t>（一）行政支出</t>
  </si>
  <si>
    <t>@jqy(7101,01,99)</t>
  </si>
  <si>
    <t>@jqy(7101,101,199)</t>
  </si>
  <si>
    <t>（二）事业支出</t>
  </si>
  <si>
    <t>@jqy(7201,01,99)</t>
  </si>
  <si>
    <t>@jqy(7201,101,199)</t>
  </si>
  <si>
    <t>（三）经营支出</t>
  </si>
  <si>
    <t>@jqy(7301,01,99)</t>
  </si>
  <si>
    <t>@jqy(7301,101,199)</t>
  </si>
  <si>
    <t>（四）上缴上级支出</t>
  </si>
  <si>
    <t>@jqy(7401,01,99)</t>
  </si>
  <si>
    <t>@jqy(7401,101,199)</t>
  </si>
  <si>
    <t>（五）对附属单位补助支出</t>
  </si>
  <si>
    <t>@jqy(7501,01,99)</t>
  </si>
  <si>
    <t>@jqy(7501,101,199)</t>
  </si>
  <si>
    <t>（六）投资支出</t>
  </si>
  <si>
    <t>@jqy(7601,01,99)</t>
  </si>
  <si>
    <t>@jqy(7601,101,199)</t>
  </si>
  <si>
    <t>（七）债务还本支出</t>
  </si>
  <si>
    <t>@jqy(7701,01,99)</t>
  </si>
  <si>
    <t>@jqy(7701,101,199)</t>
  </si>
  <si>
    <t>（八）其他支出</t>
  </si>
  <si>
    <t>@jqy(7901,01,99)</t>
  </si>
  <si>
    <t>@jqy(7901,101,199)</t>
  </si>
  <si>
    <t xml:space="preserve">      其中：利息支出</t>
  </si>
  <si>
    <t>@jqy(790101,01,99)</t>
  </si>
  <si>
    <t>@jqy(790101,101,199)</t>
  </si>
  <si>
    <t xml:space="preserve">            捐赠支出</t>
  </si>
  <si>
    <t>@jqy(790102,01,99)</t>
  </si>
  <si>
    <t>@jqy(790102,101,199)</t>
  </si>
  <si>
    <t>三、本期预算收支差额</t>
  </si>
  <si>
    <t>单位负责人：</t>
  </si>
  <si>
    <t>财务负责人：</t>
  </si>
  <si>
    <t xml:space="preserve"> 制表：</t>
  </si>
  <si>
    <t>会事业02表</t>
  </si>
  <si>
    <t xml:space="preserve">     单位:元</t>
  </si>
  <si>
    <t>单位:元</t>
  </si>
  <si>
    <t>本年累计数</t>
  </si>
  <si>
    <t>编</t>
  </si>
  <si>
    <t>支    出</t>
  </si>
  <si>
    <t>结    余</t>
  </si>
  <si>
    <t>号</t>
  </si>
  <si>
    <t>项    目</t>
  </si>
  <si>
    <t>本期发生额</t>
  </si>
  <si>
    <t>累计发生额</t>
  </si>
  <si>
    <t>@jqy(4001,01,99)</t>
  </si>
  <si>
    <t>拨出经费</t>
  </si>
  <si>
    <t>@JQY(501,99,99)</t>
  </si>
  <si>
    <t>@JQY(501,1,99)</t>
  </si>
  <si>
    <t>事业结余</t>
  </si>
  <si>
    <t>ÀÛ¼ÆÍê³ÉÊý</t>
  </si>
  <si>
    <t>@jqy(4101,01,99)</t>
  </si>
  <si>
    <t>上缴上级支出</t>
  </si>
  <si>
    <t>@JQY(516,99,99)</t>
  </si>
  <si>
    <t>@JQY(516,1,99)</t>
  </si>
  <si>
    <t>1.正常收支结余</t>
  </si>
  <si>
    <t>@jqy(4201,01,99)</t>
  </si>
  <si>
    <t>对附属单位补助</t>
  </si>
  <si>
    <t>@JQY(517,99,99)</t>
  </si>
  <si>
    <t>@JQY(517,1,99)</t>
  </si>
  <si>
    <t>2.收回以前年度</t>
  </si>
  <si>
    <t>@jqy(4202,01,99)</t>
  </si>
  <si>
    <t>事业支出</t>
  </si>
  <si>
    <t>@JQY(504,99,99)</t>
  </si>
  <si>
    <t>@JQY(504,1,99)</t>
  </si>
  <si>
    <t>@jqy(4401,01,99)</t>
  </si>
  <si>
    <t>结转自筹基建</t>
  </si>
  <si>
    <t>@JQY(520,99,99)</t>
  </si>
  <si>
    <t>@JQY(520,1,99)</t>
  </si>
  <si>
    <t>@jqy(5001,01,99)</t>
  </si>
  <si>
    <t>小  计</t>
  </si>
  <si>
    <t>@jqy(5101,01,99)</t>
  </si>
  <si>
    <t>经营支出</t>
  </si>
  <si>
    <t>@JQY(505,99,99)</t>
  </si>
  <si>
    <t>@JQY(505,1,99)</t>
  </si>
  <si>
    <t>经营结余</t>
  </si>
  <si>
    <t>@jqy(5102,01,99)</t>
  </si>
  <si>
    <t>销售税金</t>
  </si>
  <si>
    <t>@JQY(512,99,99)</t>
  </si>
  <si>
    <t>@JQY(512,1,99)</t>
  </si>
  <si>
    <t>减(-)以前年度</t>
  </si>
  <si>
    <t>@jqy(530101,01,99)</t>
  </si>
  <si>
    <t xml:space="preserve"> </t>
  </si>
  <si>
    <t>拨出专款</t>
  </si>
  <si>
    <t>@JQY(502,99,99)</t>
  </si>
  <si>
    <t>@JQY(502,1,99)</t>
  </si>
  <si>
    <t>结余分配</t>
  </si>
  <si>
    <t>专款支出</t>
  </si>
  <si>
    <t>@JQY(503,99,99)</t>
  </si>
  <si>
    <t>@JQY(503,1,99)</t>
  </si>
  <si>
    <t>1.应交所得税</t>
  </si>
  <si>
    <t>2.提取专用基金</t>
  </si>
  <si>
    <t>@jqy(4301,01,99)</t>
  </si>
  <si>
    <t>3.转入事业基金</t>
  </si>
  <si>
    <t>@jqy(5201,01,99)</t>
  </si>
  <si>
    <t>4.其他</t>
  </si>
  <si>
    <t>@jqy(530102,01,99)</t>
  </si>
  <si>
    <t>总    计</t>
  </si>
  <si>
    <t>@ye(3301,99)</t>
  </si>
  <si>
    <t>@ye(3104,99)</t>
  </si>
  <si>
    <t>财务负责人:</t>
  </si>
  <si>
    <t>制表:</t>
  </si>
  <si>
    <t>@ye(3102,99)</t>
  </si>
  <si>
    <t>@ye(3001,99)</t>
  </si>
  <si>
    <t>合    计</t>
  </si>
  <si>
    <t>2017年11月16日</t>
  </si>
  <si>
    <t>会政财05表</t>
  </si>
  <si>
    <t>2009年04月14日</t>
  </si>
  <si>
    <t xml:space="preserve">编制单位:深圳市润衡财经软件有限公司      </t>
  </si>
  <si>
    <t xml:space="preserve">（八）捐赠收入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</si>
</sst>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7" x14ac:knownFonts="1">
    <font>
      <color theme="1"/>
      <family val="2"/>
      <scheme val="minor"/>
      <sz val="11"/>
      <name val="Calibri"/>
    </font>
    <font>
      <charset val="134"/>
      <sz val="12"/>
      <name val="仿宋"/>
    </font>
    <font>
      <b/>
      <charset val="134"/>
      <sz val="24"/>
      <name val="宋体"/>
    </font>
    <font>
      <charset val="134"/>
      <sz val="12"/>
      <name val="宋体"/>
    </font>
    <font>
      <color indexed="8"/>
      <sz val="12"/>
      <name val="Arial"/>
    </font>
    <font>
      <b/>
      <charset val="134"/>
      <sz val="12"/>
      <name val="宋体"/>
    </font>
    <font>
      <charset val="134"/>
      <sz val="10"/>
      <name val="宋体"/>
    </font>
    <font>
      <b/>
      <charset val="134"/>
      <sz val="10"/>
      <name val="宋体"/>
    </font>
    <font>
      <charset val="134"/>
      <color indexed="8"/>
      <sz val="12"/>
      <name val="宋体"/>
    </font>
    <font>
      <b/>
      <charset val="134"/>
      <sz val="16"/>
      <name val="宋体"/>
    </font>
    <font>
      <sz val="15"/>
      <name val="Arial"/>
    </font>
    <font>
      <charset val="134"/>
      <sz val="11"/>
      <name val="宋体"/>
    </font>
    <font>
      <b/>
      <charset val="134"/>
      <sz val="12"/>
      <name val="仿宋"/>
    </font>
    <font>
      <b/>
      <charset val="134"/>
      <sz val="11"/>
      <name val="宋体"/>
    </font>
    <font>
      <sz val="9"/>
      <name val="宋体"/>
    </font>
    <font>
      <sz val="9"/>
      <name val="Arial"/>
    </font>
    <font>
      <sz val="12"/>
      <name val="仿宋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7" fillId="0" borderId="3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Continuous" vertical="center"/>
    </xf>
    <xf numFmtId="0" fontId="13" fillId="0" borderId="3" xfId="0" applyFont="1" applyBorder="1" applyAlignment="1">
      <alignment horizontal="centerContinuous" vertical="center"/>
    </xf>
    <xf numFmtId="0" fontId="6" fillId="0" borderId="6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13" fillId="0" borderId="7" xfId="0" applyFont="1" applyBorder="1" applyAlignment="1">
      <alignment horizontal="centerContinuous" vertical="center"/>
    </xf>
    <xf numFmtId="164" fontId="1" fillId="0" borderId="3" xfId="0" applyNumberFormat="1" applyFont="1" applyBorder="1"/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Continuous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15" fillId="0" borderId="1" xfId="0" applyFont="1" applyBorder="1"/>
    <xf numFmtId="0" fontId="4" fillId="0" borderId="13" xfId="0" applyFont="1" applyBorder="1"/>
    <xf numFmtId="0" fontId="6" fillId="0" borderId="15" xfId="0" applyFont="1" applyBorder="1" applyAlignment="1">
      <alignment horizontal="left" vertical="center"/>
    </xf>
    <xf numFmtId="0" fontId="4" fillId="0" borderId="16" xfId="0" applyFont="1" applyBorder="1"/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7" xfId="0" applyFont="1" applyBorder="1"/>
    <xf numFmtId="0" fontId="13" fillId="0" borderId="14" xfId="0" applyFont="1" applyBorder="1" applyAlignment="1">
      <alignment horizontal="centerContinuous" vertical="center"/>
    </xf>
    <xf numFmtId="164" fontId="6" fillId="0" borderId="4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1" fillId="0" borderId="2" xfId="0" applyFont="1" applyBorder="1"/>
    <xf numFmtId="164" fontId="16" fillId="0" borderId="3" xfId="0" applyNumberFormat="1" applyFont="1" applyBorder="1"/>
    <xf numFmtId="0" fontId="6" fillId="0" borderId="0" xfId="0" applyFont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6" fillId="0" borderId="0" xfId="0" applyFont="1"/>
    <xf numFmtId="0" fontId="13" fillId="0" borderId="2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2"/>
  <sheetViews>
    <sheetView workbookViewId="0" showGridLines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" width="32.4444444444444" style="1" customWidth="1"/>
    <col min="2" max="2" width="21.2222222222222" style="1" customWidth="1"/>
    <col min="3" max="3" width="23.6666666666667" style="1" customWidth="1"/>
    <col min="4" max="4" width="17.3333333333333" style="1" customWidth="1"/>
    <col min="5" max="5" width="3.88888888888889" style="1" customWidth="1"/>
    <col min="6" max="6" width="12.6" style="1" customWidth="1"/>
    <col min="7" max="8" width="10.2222222222222" style="1" customWidth="1"/>
    <col min="9" max="9" width="3.88888888888889" style="1" customWidth="1"/>
    <col min="10" max="10" width="12.6" style="1" customWidth="1"/>
    <col min="11" max="12" width="10.2222222222222" style="1" customWidth="1"/>
    <col min="13" max="16384" width="9.14814814814815" style="1" customWidth="1"/>
  </cols>
  <sheetData>
    <row r="1" ht="28" customHeight="1" spans="1:12" x14ac:dyDescent="0.25">
      <c r="A1" s="2" t="s">
        <v>0</v>
      </c>
      <c r="B1" s="3"/>
      <c r="C1" s="3"/>
      <c r="L1" s="4"/>
    </row>
    <row r="2" ht="21" customHeight="1" spans="1:5" x14ac:dyDescent="0.25">
      <c r="A2" s="5"/>
      <c r="B2" s="5" t="s">
        <v>1</v>
      </c>
      <c r="C2" s="6" t="s">
        <v>2</v>
      </c>
      <c r="E2" s="7"/>
    </row>
    <row r="3" ht="21" customHeight="1" spans="1:19" s="8" customFormat="1" x14ac:dyDescent="0.25">
      <c r="A3" s="9" t="s">
        <v>3</v>
      </c>
      <c r="B3" s="9"/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21" customHeight="1" spans="1:19" s="8" customFormat="1" x14ac:dyDescent="0.25">
      <c r="A4" s="11" t="s">
        <v>5</v>
      </c>
      <c r="B4" s="11" t="s">
        <v>6</v>
      </c>
      <c r="C4" s="11" t="s">
        <v>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21" customHeight="1" spans="1:19" s="8" customFormat="1" x14ac:dyDescent="0.25">
      <c r="A5" s="12" t="s">
        <v>8</v>
      </c>
      <c r="B5" s="13" t="e">
        <f>B6+B8+B9+B10+B11+B12+B13+B14+B15</f>
        <v>#VALUE!</v>
      </c>
      <c r="C5" s="13" t="e">
        <f>C6+C8+C9+C10+C11+C12+C13+C14+C15</f>
        <v>#VALUE!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1" customHeight="1" spans="1:19" s="8" customFormat="1" x14ac:dyDescent="0.25">
      <c r="A6" s="14" t="s">
        <v>9</v>
      </c>
      <c r="B6" s="13" t="s">
        <v>10</v>
      </c>
      <c r="C6" s="13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21" customHeight="1" spans="1:19" s="8" customFormat="1" x14ac:dyDescent="0.25">
      <c r="A7" s="15" t="s">
        <v>12</v>
      </c>
      <c r="B7" s="13" t="s">
        <v>13</v>
      </c>
      <c r="C7" s="13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21" customHeight="1" spans="1:19" s="8" customFormat="1" x14ac:dyDescent="0.25">
      <c r="A8" s="16" t="s">
        <v>15</v>
      </c>
      <c r="B8" s="13" t="s">
        <v>16</v>
      </c>
      <c r="C8" s="13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ht="21" customHeight="1" spans="1:19" s="8" customFormat="1" x14ac:dyDescent="0.25">
      <c r="A9" s="16" t="s">
        <v>18</v>
      </c>
      <c r="B9" s="13" t="s">
        <v>19</v>
      </c>
      <c r="C9" s="13" t="s">
        <v>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ht="21" customHeight="1" spans="1:13" s="8" customFormat="1" x14ac:dyDescent="0.25">
      <c r="A10" s="16" t="s">
        <v>21</v>
      </c>
      <c r="B10" s="13" t="s">
        <v>22</v>
      </c>
      <c r="C10" s="13" t="s">
        <v>23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21" customHeight="1" spans="1:13" s="8" customFormat="1" x14ac:dyDescent="0.25">
      <c r="A11" s="14" t="s">
        <v>24</v>
      </c>
      <c r="B11" s="13" t="s">
        <v>25</v>
      </c>
      <c r="C11" s="13" t="s">
        <v>26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21" customHeight="1" spans="1:256" s="8" customFormat="1" x14ac:dyDescent="0.25">
      <c r="A12" s="14" t="s">
        <v>27</v>
      </c>
      <c r="B12" s="13" t="s">
        <v>28</v>
      </c>
      <c r="C12" s="13" t="s">
        <v>29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</row>
    <row r="13" ht="21" customHeight="1" spans="1:19" s="8" customFormat="1" x14ac:dyDescent="0.25">
      <c r="A13" s="14" t="s">
        <v>30</v>
      </c>
      <c r="B13" s="13" t="s">
        <v>31</v>
      </c>
      <c r="C13" s="13" t="s">
        <v>32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21" customHeight="1" spans="1:19" s="8" customFormat="1" x14ac:dyDescent="0.25">
      <c r="A14" s="14" t="s">
        <v>33</v>
      </c>
      <c r="B14" s="13" t="s">
        <v>34</v>
      </c>
      <c r="C14" s="13" t="s">
        <v>35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21" customHeight="1" spans="1:19" s="8" customFormat="1" x14ac:dyDescent="0.25">
      <c r="A15" s="16" t="s">
        <v>36</v>
      </c>
      <c r="B15" s="13" t="s">
        <v>37</v>
      </c>
      <c r="C15" s="13" t="s">
        <v>38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21" customHeight="1" spans="1:19" s="8" customFormat="1" x14ac:dyDescent="0.25">
      <c r="A16" s="16" t="s">
        <v>39</v>
      </c>
      <c r="B16" s="13" t="s">
        <v>40</v>
      </c>
      <c r="C16" s="13" t="s">
        <v>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ht="21" customHeight="1" spans="1:256" s="8" customFormat="1" x14ac:dyDescent="0.25">
      <c r="A17" s="16" t="s">
        <v>42</v>
      </c>
      <c r="B17" s="13" t="s">
        <v>43</v>
      </c>
      <c r="C17" s="13" t="s">
        <v>44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ht="21" customHeight="1" spans="1:19" s="8" customFormat="1" x14ac:dyDescent="0.25">
      <c r="A18" s="16" t="s">
        <v>45</v>
      </c>
      <c r="B18" s="13" t="s">
        <v>46</v>
      </c>
      <c r="C18" s="13" t="s">
        <v>47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21" customHeight="1" spans="1:19" s="8" customFormat="1" x14ac:dyDescent="0.25">
      <c r="A19" s="12" t="s">
        <v>48</v>
      </c>
      <c r="B19" s="13" t="e">
        <f>B20+B21+B22+B23+B24+B25+B26+B27</f>
        <v>#VALUE!</v>
      </c>
      <c r="C19" s="13" t="e">
        <f>C20+C21+C22+C23+C24+C25+C26+C27</f>
        <v>#VALUE!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21" customHeight="1" spans="1:19" s="8" customFormat="1" x14ac:dyDescent="0.25">
      <c r="A20" s="14" t="s">
        <v>49</v>
      </c>
      <c r="B20" s="13" t="s">
        <v>50</v>
      </c>
      <c r="C20" s="13" t="s">
        <v>51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21" customHeight="1" spans="1:19" s="8" customFormat="1" x14ac:dyDescent="0.25">
      <c r="A21" s="14" t="s">
        <v>52</v>
      </c>
      <c r="B21" s="13" t="s">
        <v>53</v>
      </c>
      <c r="C21" s="13" t="s">
        <v>54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21" customHeight="1" spans="1:19" s="8" customFormat="1" x14ac:dyDescent="0.25">
      <c r="A22" s="14" t="s">
        <v>55</v>
      </c>
      <c r="B22" s="13" t="s">
        <v>56</v>
      </c>
      <c r="C22" s="13" t="s">
        <v>57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ht="21" customHeight="1" spans="1:5" s="8" customFormat="1" x14ac:dyDescent="0.25">
      <c r="A23" s="14" t="s">
        <v>58</v>
      </c>
      <c r="B23" s="13" t="s">
        <v>59</v>
      </c>
      <c r="C23" s="13" t="s">
        <v>60</v>
      </c>
      <c r="D23" s="10"/>
      <c r="E23" s="10"/>
    </row>
    <row r="24" ht="21" customHeight="1" spans="1:13" s="8" customFormat="1" x14ac:dyDescent="0.25">
      <c r="A24" s="14" t="s">
        <v>61</v>
      </c>
      <c r="B24" s="13" t="s">
        <v>62</v>
      </c>
      <c r="C24" s="13" t="s">
        <v>63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21" customHeight="1" spans="1:5" s="8" customFormat="1" x14ac:dyDescent="0.25">
      <c r="A25" s="14" t="s">
        <v>64</v>
      </c>
      <c r="B25" s="13" t="s">
        <v>65</v>
      </c>
      <c r="C25" s="13" t="s">
        <v>66</v>
      </c>
      <c r="D25" s="10"/>
      <c r="E25" s="10"/>
    </row>
    <row r="26" ht="21" customHeight="1" spans="1:5" s="8" customFormat="1" x14ac:dyDescent="0.25">
      <c r="A26" s="14" t="s">
        <v>67</v>
      </c>
      <c r="B26" s="13" t="s">
        <v>68</v>
      </c>
      <c r="C26" s="13" t="s">
        <v>69</v>
      </c>
      <c r="D26" s="10"/>
      <c r="E26" s="10"/>
    </row>
    <row r="27" ht="21" customHeight="1" spans="1:5" s="8" customFormat="1" x14ac:dyDescent="0.25">
      <c r="A27" s="14" t="s">
        <v>70</v>
      </c>
      <c r="B27" s="13" t="s">
        <v>71</v>
      </c>
      <c r="C27" s="13" t="s">
        <v>72</v>
      </c>
      <c r="D27" s="10"/>
      <c r="E27" s="10"/>
    </row>
    <row r="28" ht="21" customHeight="1" spans="1:256" s="8" customFormat="1" x14ac:dyDescent="0.25">
      <c r="A28" s="16" t="s">
        <v>73</v>
      </c>
      <c r="B28" s="13" t="s">
        <v>74</v>
      </c>
      <c r="C28" s="13" t="s">
        <v>75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</row>
    <row r="29" ht="21" customHeight="1" spans="1:256" s="8" customFormat="1" x14ac:dyDescent="0.25">
      <c r="A29" s="16" t="s">
        <v>76</v>
      </c>
      <c r="B29" s="13" t="s">
        <v>77</v>
      </c>
      <c r="C29" s="13" t="s">
        <v>78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</row>
    <row r="30" ht="21" customHeight="1" spans="1:5" s="8" customFormat="1" x14ac:dyDescent="0.25">
      <c r="A30" s="12" t="s">
        <v>79</v>
      </c>
      <c r="B30" s="17" t="e">
        <f>B5-B19</f>
        <v>#VALUE!</v>
      </c>
      <c r="C30" s="17" t="e">
        <f>C5-C19</f>
        <v>#VALUE!</v>
      </c>
      <c r="D30" s="10"/>
      <c r="E30" s="10"/>
    </row>
    <row r="31" ht="21" customHeight="1" spans="1:4" s="8" customFormat="1" x14ac:dyDescent="0.25">
      <c r="A31" s="9" t="s">
        <v>80</v>
      </c>
      <c r="B31" s="9" t="s">
        <v>81</v>
      </c>
      <c r="C31" s="9" t="s">
        <v>82</v>
      </c>
      <c r="D31" s="10"/>
    </row>
    <row r="32" ht="12.75" customHeight="1" spans="1:3" x14ac:dyDescent="0.25">
      <c r="A32" s="18"/>
      <c r="B32" s="19"/>
      <c r="C32" s="19"/>
    </row>
  </sheetData>
  <printOptions horizontalCentered="1" verticalCentered="1"/>
  <pageMargins left="0" right="0" top="0" bottom="0" header="0" footer="0"/>
  <pageSetup paperSize="9" orientation="portrait" horizontalDpi="180" verticalDpi="18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13" x14ac:dyDescent="0.25">
      <c r="A1" s="2" t="s">
        <v>0</v>
      </c>
      <c r="B1" s="3"/>
      <c r="C1" s="3"/>
      <c r="D1" s="4"/>
      <c r="E1" s="20"/>
      <c r="F1" s="20"/>
      <c r="G1" s="20"/>
      <c r="H1" s="20"/>
      <c r="I1" s="20"/>
      <c r="J1" s="20"/>
      <c r="K1" s="20"/>
      <c r="L1" s="20"/>
      <c r="M1" s="21"/>
    </row>
    <row r="2" ht="21" customHeight="1" spans="1:13" x14ac:dyDescent="0.25">
      <c r="A2" s="5"/>
      <c r="B2" s="5" t="s">
        <v>1</v>
      </c>
      <c r="C2" s="6" t="s">
        <v>2</v>
      </c>
      <c r="D2" s="22" t="s">
        <v>83</v>
      </c>
      <c r="E2" s="23"/>
      <c r="F2" s="24"/>
      <c r="G2" s="23" t="s">
        <v>1</v>
      </c>
      <c r="H2" s="23"/>
      <c r="I2" s="23"/>
      <c r="J2" s="23"/>
      <c r="K2" s="23" t="s">
        <v>84</v>
      </c>
      <c r="L2" s="23"/>
      <c r="M2" s="25"/>
    </row>
    <row r="3" ht="21" customHeight="1" spans="1:13" x14ac:dyDescent="0.25">
      <c r="A3" s="9" t="s">
        <v>3</v>
      </c>
      <c r="B3" s="9"/>
      <c r="C3" s="9" t="s">
        <v>4</v>
      </c>
      <c r="D3" s="22" t="s">
        <v>85</v>
      </c>
      <c r="E3" s="23"/>
      <c r="F3" s="24"/>
      <c r="G3" s="23"/>
      <c r="H3" s="23"/>
      <c r="I3" s="23"/>
      <c r="J3" s="23"/>
      <c r="K3" s="23"/>
      <c r="L3" s="23"/>
      <c r="M3" s="25"/>
    </row>
    <row r="4" ht="21" customHeight="1" spans="1:13" x14ac:dyDescent="0.25">
      <c r="A4" s="11" t="s">
        <v>5</v>
      </c>
      <c r="B4" s="11" t="s">
        <v>6</v>
      </c>
      <c r="C4" s="11" t="s">
        <v>7</v>
      </c>
      <c r="D4" s="26" t="s">
        <v>86</v>
      </c>
      <c r="E4" s="27" t="s">
        <v>87</v>
      </c>
      <c r="F4" s="28" t="s">
        <v>88</v>
      </c>
      <c r="G4" s="29"/>
      <c r="H4" s="30"/>
      <c r="I4" s="27" t="s">
        <v>87</v>
      </c>
      <c r="J4" s="28" t="s">
        <v>89</v>
      </c>
      <c r="K4" s="31"/>
      <c r="L4" s="29"/>
      <c r="M4" s="25"/>
    </row>
    <row r="5" ht="21" customHeight="1" spans="1:13" x14ac:dyDescent="0.25">
      <c r="A5" s="12" t="s">
        <v>8</v>
      </c>
      <c r="B5" s="13" t="e">
        <f>B6+B8+B9+B10+B11+B12+B13+B14+B15</f>
        <v>#VALUE!</v>
      </c>
      <c r="C5" s="13" t="e">
        <f>C6+C8+C9+C10+C11+C12+C13+C14+C15</f>
        <v>#VALUE!</v>
      </c>
      <c r="D5" s="32">
        <f>SUM(D6:D10)</f>
        <v>0</v>
      </c>
      <c r="E5" s="33" t="s">
        <v>90</v>
      </c>
      <c r="F5" s="34" t="s">
        <v>91</v>
      </c>
      <c r="G5" s="35" t="s">
        <v>92</v>
      </c>
      <c r="H5" s="35" t="s">
        <v>93</v>
      </c>
      <c r="I5" s="33" t="s">
        <v>90</v>
      </c>
      <c r="J5" s="34" t="s">
        <v>91</v>
      </c>
      <c r="K5" s="36" t="s">
        <v>92</v>
      </c>
      <c r="L5" s="37" t="s">
        <v>93</v>
      </c>
      <c r="M5" s="38"/>
    </row>
    <row r="6" ht="21" customHeight="1" spans="1:13" x14ac:dyDescent="0.25">
      <c r="A6" s="14" t="s">
        <v>9</v>
      </c>
      <c r="B6" s="13" t="s">
        <v>10</v>
      </c>
      <c r="C6" s="13" t="s">
        <v>11</v>
      </c>
      <c r="D6" s="32" t="s">
        <v>94</v>
      </c>
      <c r="E6" s="39">
        <v>501</v>
      </c>
      <c r="F6" s="40" t="s">
        <v>95</v>
      </c>
      <c r="G6" s="13" t="s">
        <v>96</v>
      </c>
      <c r="H6" s="13" t="s">
        <v>97</v>
      </c>
      <c r="I6" s="39">
        <v>306</v>
      </c>
      <c r="J6" s="40" t="s">
        <v>98</v>
      </c>
      <c r="K6" s="41" t="e">
        <f>C12-G12</f>
        <v>#VALUE!</v>
      </c>
      <c r="L6" s="13" t="e">
        <f>D12-H12</f>
        <v>#VALUE!</v>
      </c>
      <c r="M6" s="42" t="s">
        <v>99</v>
      </c>
    </row>
    <row r="7" ht="21" customHeight="1" spans="1:13" x14ac:dyDescent="0.25">
      <c r="A7" s="15" t="s">
        <v>12</v>
      </c>
      <c r="B7" s="13" t="s">
        <v>13</v>
      </c>
      <c r="C7" s="13" t="s">
        <v>14</v>
      </c>
      <c r="D7" s="32" t="s">
        <v>100</v>
      </c>
      <c r="E7" s="39">
        <v>516</v>
      </c>
      <c r="F7" s="43" t="s">
        <v>101</v>
      </c>
      <c r="G7" s="13" t="s">
        <v>102</v>
      </c>
      <c r="H7" s="13" t="s">
        <v>103</v>
      </c>
      <c r="I7" s="39"/>
      <c r="J7" s="43" t="s">
        <v>104</v>
      </c>
      <c r="K7" s="41"/>
      <c r="L7" s="13"/>
      <c r="M7" s="44">
        <f>E11-I11</f>
        <v>0</v>
      </c>
    </row>
    <row r="8" ht="21" customHeight="1" spans="1:13" x14ac:dyDescent="0.25">
      <c r="A8" s="16" t="s">
        <v>15</v>
      </c>
      <c r="B8" s="13" t="s">
        <v>16</v>
      </c>
      <c r="C8" s="13" t="s">
        <v>17</v>
      </c>
      <c r="D8" s="32" t="s">
        <v>105</v>
      </c>
      <c r="E8" s="39">
        <v>517</v>
      </c>
      <c r="F8" s="43" t="s">
        <v>106</v>
      </c>
      <c r="G8" s="13" t="s">
        <v>107</v>
      </c>
      <c r="H8" s="13" t="s">
        <v>108</v>
      </c>
      <c r="I8" s="39"/>
      <c r="J8" s="43" t="s">
        <v>109</v>
      </c>
      <c r="K8" s="41"/>
      <c r="L8" s="13"/>
      <c r="M8" s="45"/>
    </row>
    <row r="9" ht="21" customHeight="1" spans="1:13" x14ac:dyDescent="0.25">
      <c r="A9" s="16" t="s">
        <v>18</v>
      </c>
      <c r="B9" s="13" t="s">
        <v>19</v>
      </c>
      <c r="C9" s="13" t="s">
        <v>20</v>
      </c>
      <c r="D9" s="32" t="s">
        <v>110</v>
      </c>
      <c r="E9" s="39">
        <v>504</v>
      </c>
      <c r="F9" s="43" t="s">
        <v>111</v>
      </c>
      <c r="G9" s="13" t="s">
        <v>112</v>
      </c>
      <c r="H9" s="13" t="s">
        <v>113</v>
      </c>
      <c r="I9" s="39"/>
      <c r="J9" s="24"/>
      <c r="K9" s="41"/>
      <c r="L9" s="13"/>
      <c r="M9" s="45"/>
    </row>
    <row r="10" ht="21" customHeight="1" spans="1:13" x14ac:dyDescent="0.25">
      <c r="A10" s="16" t="s">
        <v>21</v>
      </c>
      <c r="B10" s="13" t="s">
        <v>22</v>
      </c>
      <c r="C10" s="13" t="s">
        <v>23</v>
      </c>
      <c r="D10" s="32" t="s">
        <v>114</v>
      </c>
      <c r="E10" s="39">
        <v>520</v>
      </c>
      <c r="F10" s="43" t="s">
        <v>115</v>
      </c>
      <c r="G10" s="13" t="s">
        <v>116</v>
      </c>
      <c r="H10" s="13" t="s">
        <v>117</v>
      </c>
      <c r="I10" s="39"/>
      <c r="J10" s="43"/>
      <c r="K10" s="41"/>
      <c r="L10" s="13"/>
      <c r="M10" s="45"/>
    </row>
    <row r="11" ht="21" customHeight="1" spans="1:13" x14ac:dyDescent="0.25">
      <c r="A11" s="14" t="s">
        <v>24</v>
      </c>
      <c r="B11" s="13" t="s">
        <v>25</v>
      </c>
      <c r="C11" s="13" t="s">
        <v>26</v>
      </c>
      <c r="D11" s="32">
        <f>SUM(D12:D15)</f>
        <v>0</v>
      </c>
      <c r="E11" s="39"/>
      <c r="F11" s="46"/>
      <c r="G11" s="13"/>
      <c r="H11" s="13"/>
      <c r="I11" s="39"/>
      <c r="J11" s="43"/>
      <c r="K11" s="41"/>
      <c r="L11" s="13"/>
      <c r="M11" s="47"/>
    </row>
    <row r="12" ht="21" customHeight="1" spans="1:13" x14ac:dyDescent="0.25">
      <c r="A12" s="14" t="s">
        <v>27</v>
      </c>
      <c r="B12" s="13" t="s">
        <v>28</v>
      </c>
      <c r="C12" s="13" t="s">
        <v>29</v>
      </c>
      <c r="D12" s="32" t="s">
        <v>118</v>
      </c>
      <c r="E12" s="48"/>
      <c r="F12" s="49" t="s">
        <v>119</v>
      </c>
      <c r="G12" s="13" t="e">
        <f>G6+G7+G8+G9+G10+G11</f>
        <v>#VALUE!</v>
      </c>
      <c r="H12" s="13" t="e">
        <f>H6+H7+H8+H9+H10+H11</f>
        <v>#VALUE!</v>
      </c>
      <c r="I12" s="39"/>
      <c r="J12" s="43"/>
      <c r="K12" s="41"/>
      <c r="L12" s="13"/>
      <c r="M12" s="44">
        <f>E12-I12</f>
        <v>0</v>
      </c>
    </row>
    <row r="13" ht="21" customHeight="1" spans="1:13" x14ac:dyDescent="0.25">
      <c r="A13" s="14" t="s">
        <v>30</v>
      </c>
      <c r="B13" s="13" t="s">
        <v>31</v>
      </c>
      <c r="C13" s="13" t="s">
        <v>32</v>
      </c>
      <c r="D13" s="32" t="s">
        <v>120</v>
      </c>
      <c r="E13" s="50">
        <v>505</v>
      </c>
      <c r="F13" s="40" t="s">
        <v>121</v>
      </c>
      <c r="G13" s="13" t="s">
        <v>122</v>
      </c>
      <c r="H13" s="13" t="s">
        <v>123</v>
      </c>
      <c r="I13" s="50">
        <v>307</v>
      </c>
      <c r="J13" s="43" t="s">
        <v>124</v>
      </c>
      <c r="K13" s="41" t="e">
        <f>C15-G15</f>
        <v>#VALUE!</v>
      </c>
      <c r="L13" s="13" t="e">
        <f>D15-H15</f>
        <v>#VALUE!</v>
      </c>
      <c r="M13" s="45"/>
    </row>
    <row r="14" ht="21" customHeight="1" spans="1:13" x14ac:dyDescent="0.25">
      <c r="A14" s="14" t="s">
        <v>33</v>
      </c>
      <c r="B14" s="13" t="s">
        <v>34</v>
      </c>
      <c r="C14" s="13" t="s">
        <v>35</v>
      </c>
      <c r="D14" s="32" t="s">
        <v>125</v>
      </c>
      <c r="E14" s="39">
        <v>512</v>
      </c>
      <c r="F14" s="46" t="s">
        <v>126</v>
      </c>
      <c r="G14" s="13" t="s">
        <v>127</v>
      </c>
      <c r="H14" s="13" t="s">
        <v>128</v>
      </c>
      <c r="I14" s="39"/>
      <c r="J14" s="43" t="s">
        <v>129</v>
      </c>
      <c r="K14" s="41"/>
      <c r="L14" s="13"/>
      <c r="M14" s="45"/>
    </row>
    <row r="15" ht="21" customHeight="1" spans="1:13" x14ac:dyDescent="0.25">
      <c r="A15" s="16" t="s">
        <v>36</v>
      </c>
      <c r="B15" s="13" t="s">
        <v>37</v>
      </c>
      <c r="C15" s="13" t="s">
        <v>38</v>
      </c>
      <c r="D15" s="32" t="s">
        <v>130</v>
      </c>
      <c r="E15" s="48"/>
      <c r="F15" s="49" t="s">
        <v>119</v>
      </c>
      <c r="G15" s="13" t="e">
        <f>G13+G14</f>
        <v>#VALUE!</v>
      </c>
      <c r="H15" s="13" t="e">
        <f>H13+H14</f>
        <v>#VALUE!</v>
      </c>
      <c r="I15" s="39"/>
      <c r="J15" s="43" t="s">
        <v>131</v>
      </c>
      <c r="K15" s="41"/>
      <c r="L15" s="13"/>
      <c r="M15" s="47"/>
    </row>
    <row r="16" ht="21" customHeight="1" spans="1:13" x14ac:dyDescent="0.25">
      <c r="A16" s="16" t="s">
        <v>39</v>
      </c>
      <c r="B16" s="13" t="s">
        <v>40</v>
      </c>
      <c r="C16" s="13" t="s">
        <v>41</v>
      </c>
      <c r="D16" s="32">
        <f>D5-D11</f>
        <v>0</v>
      </c>
      <c r="E16" s="50">
        <v>502</v>
      </c>
      <c r="F16" s="40" t="s">
        <v>132</v>
      </c>
      <c r="G16" s="13" t="s">
        <v>133</v>
      </c>
      <c r="H16" s="13" t="s">
        <v>134</v>
      </c>
      <c r="I16" s="50">
        <v>308</v>
      </c>
      <c r="J16" s="43" t="s">
        <v>135</v>
      </c>
      <c r="K16" s="41" t="e">
        <f>K6+K13+C20-G20</f>
        <v>#VALUE!</v>
      </c>
      <c r="L16" s="13" t="e">
        <f>L6+L13+D20-H20</f>
        <v>#VALUE!</v>
      </c>
      <c r="M16" s="44">
        <f>M7+M12</f>
        <v>0</v>
      </c>
    </row>
    <row r="17" ht="21" customHeight="1" spans="1:13" x14ac:dyDescent="0.25">
      <c r="A17" s="16" t="s">
        <v>42</v>
      </c>
      <c r="B17" s="13" t="s">
        <v>43</v>
      </c>
      <c r="C17" s="13" t="s">
        <v>44</v>
      </c>
      <c r="D17" s="32"/>
      <c r="E17" s="39">
        <v>503</v>
      </c>
      <c r="F17" s="43" t="s">
        <v>136</v>
      </c>
      <c r="G17" s="13" t="s">
        <v>137</v>
      </c>
      <c r="H17" s="13" t="s">
        <v>138</v>
      </c>
      <c r="I17" s="39"/>
      <c r="J17" s="43" t="s">
        <v>139</v>
      </c>
      <c r="K17" s="41"/>
      <c r="L17" s="13"/>
      <c r="M17" s="45"/>
    </row>
    <row r="18" ht="21" customHeight="1" spans="1:13" x14ac:dyDescent="0.25">
      <c r="A18" s="16" t="s">
        <v>45</v>
      </c>
      <c r="B18" s="13" t="s">
        <v>46</v>
      </c>
      <c r="C18" s="13" t="s">
        <v>47</v>
      </c>
      <c r="D18" s="32" t="e">
        <f>D19-D20-D21</f>
        <v>#VALUE!</v>
      </c>
      <c r="E18" s="39"/>
      <c r="F18" s="43"/>
      <c r="G18" s="41"/>
      <c r="H18" s="13"/>
      <c r="I18" s="39"/>
      <c r="J18" s="43" t="s">
        <v>140</v>
      </c>
      <c r="K18" s="41"/>
      <c r="L18" s="13"/>
      <c r="M18" s="45"/>
    </row>
    <row r="19" ht="21" customHeight="1" spans="1:13" x14ac:dyDescent="0.25">
      <c r="A19" s="12" t="s">
        <v>48</v>
      </c>
      <c r="B19" s="13" t="e">
        <f>B20+B21+B22+B23+B24+B25+B26+B27</f>
        <v>#VALUE!</v>
      </c>
      <c r="C19" s="13" t="e">
        <f>C20+C21+C22+C23+C24+C25+C26+C27</f>
        <v>#VALUE!</v>
      </c>
      <c r="D19" s="32" t="s">
        <v>141</v>
      </c>
      <c r="E19" s="39"/>
      <c r="F19" s="46"/>
      <c r="G19" s="41"/>
      <c r="H19" s="13"/>
      <c r="I19" s="39"/>
      <c r="J19" s="24" t="s">
        <v>142</v>
      </c>
      <c r="K19" s="41"/>
      <c r="L19" s="13"/>
      <c r="M19" s="45"/>
    </row>
    <row r="20" ht="21" customHeight="1" spans="1:13" x14ac:dyDescent="0.25">
      <c r="A20" s="14" t="s">
        <v>49</v>
      </c>
      <c r="B20" s="13" t="s">
        <v>50</v>
      </c>
      <c r="C20" s="13" t="s">
        <v>51</v>
      </c>
      <c r="D20" s="32" t="s">
        <v>143</v>
      </c>
      <c r="E20" s="48"/>
      <c r="F20" s="51" t="s">
        <v>119</v>
      </c>
      <c r="G20" s="41" t="e">
        <f>G16+G17+G18+G19</f>
        <v>#VALUE!</v>
      </c>
      <c r="H20" s="13" t="e">
        <f>H16+H17+H18+H19</f>
        <v>#VALUE!</v>
      </c>
      <c r="I20" s="39"/>
      <c r="J20" s="46" t="s">
        <v>144</v>
      </c>
      <c r="K20" s="41"/>
      <c r="L20" s="13"/>
      <c r="M20" s="52"/>
    </row>
    <row r="21" ht="21" customHeight="1" spans="1:12" x14ac:dyDescent="0.25">
      <c r="A21" s="14" t="s">
        <v>52</v>
      </c>
      <c r="B21" s="13" t="s">
        <v>53</v>
      </c>
      <c r="C21" s="13" t="s">
        <v>54</v>
      </c>
      <c r="D21" s="32" t="s">
        <v>145</v>
      </c>
      <c r="E21" s="53" t="s">
        <v>146</v>
      </c>
      <c r="F21" s="53"/>
      <c r="G21" s="54" t="e">
        <f>G12+G15+G20</f>
        <v>#VALUE!</v>
      </c>
      <c r="H21" s="55" t="e">
        <f>H12+H15+H20</f>
        <v>#VALUE!</v>
      </c>
      <c r="I21" s="56"/>
      <c r="J21" s="57"/>
      <c r="K21" s="54"/>
      <c r="L21" s="55"/>
    </row>
    <row r="22" ht="21" customHeight="1" spans="1:4" x14ac:dyDescent="0.25">
      <c r="A22" s="14" t="s">
        <v>55</v>
      </c>
      <c r="B22" s="13" t="s">
        <v>56</v>
      </c>
      <c r="C22" s="13" t="s">
        <v>57</v>
      </c>
      <c r="D22" s="58" t="s">
        <v>147</v>
      </c>
    </row>
    <row r="23" ht="21" customHeight="1" spans="1:12" x14ac:dyDescent="0.25">
      <c r="A23" s="14" t="s">
        <v>58</v>
      </c>
      <c r="B23" s="13" t="s">
        <v>59</v>
      </c>
      <c r="C23" s="13" t="s">
        <v>60</v>
      </c>
      <c r="D23" s="32" t="s">
        <v>148</v>
      </c>
      <c r="E23" s="23"/>
      <c r="F23" s="59" t="s">
        <v>149</v>
      </c>
      <c r="G23" s="23"/>
      <c r="H23" s="24"/>
      <c r="I23" s="24"/>
      <c r="J23" s="59" t="s">
        <v>150</v>
      </c>
      <c r="K23" s="23"/>
      <c r="L23" s="23"/>
    </row>
    <row r="24" ht="21" customHeight="1" spans="1:10" x14ac:dyDescent="0.25">
      <c r="A24" s="14" t="s">
        <v>61</v>
      </c>
      <c r="B24" s="13" t="s">
        <v>62</v>
      </c>
      <c r="C24" s="13" t="s">
        <v>63</v>
      </c>
      <c r="D24" s="58" t="s">
        <v>147</v>
      </c>
      <c r="E24" s="60"/>
      <c r="F24" s="13"/>
      <c r="G24" s="13"/>
      <c r="H24" s="60"/>
      <c r="I24" s="13"/>
      <c r="J24" s="13"/>
    </row>
    <row r="25" ht="21" customHeight="1" spans="1:10" x14ac:dyDescent="0.25">
      <c r="A25" s="14" t="s">
        <v>64</v>
      </c>
      <c r="B25" s="13" t="s">
        <v>65</v>
      </c>
      <c r="C25" s="13" t="s">
        <v>66</v>
      </c>
      <c r="D25" s="58" t="s">
        <v>151</v>
      </c>
      <c r="E25" s="61" t="s">
        <v>119</v>
      </c>
      <c r="F25" s="13" t="e">
        <f>F20+F21+F22+F23</f>
        <v>#VALUE!</v>
      </c>
      <c r="G25" s="13" t="e">
        <f>G20+G21+G22+G23</f>
        <v>#VALUE!</v>
      </c>
      <c r="H25" s="60" t="s">
        <v>142</v>
      </c>
      <c r="I25" s="13"/>
      <c r="J25" s="13"/>
    </row>
    <row r="26" ht="21" customHeight="1" spans="1:10" x14ac:dyDescent="0.25">
      <c r="A26" s="14" t="s">
        <v>67</v>
      </c>
      <c r="B26" s="13" t="s">
        <v>68</v>
      </c>
      <c r="C26" s="13" t="s">
        <v>69</v>
      </c>
      <c r="D26" s="58" t="s">
        <v>152</v>
      </c>
      <c r="E26" s="62" t="s">
        <v>153</v>
      </c>
      <c r="F26" s="55" t="e">
        <f>F13+F19+F25</f>
        <v>#VALUE!</v>
      </c>
      <c r="G26" s="55" t="e">
        <f>G13+G19+G25</f>
        <v>#VALUE!</v>
      </c>
      <c r="H26" s="40" t="s">
        <v>144</v>
      </c>
      <c r="I26" s="55"/>
      <c r="J26" s="55"/>
    </row>
    <row r="27" ht="21" customHeight="1" spans="1:4" x14ac:dyDescent="0.25">
      <c r="A27" s="14" t="s">
        <v>70</v>
      </c>
      <c r="B27" s="13" t="s">
        <v>71</v>
      </c>
      <c r="C27" s="13" t="s">
        <v>72</v>
      </c>
      <c r="D27" s="63"/>
    </row>
    <row r="28" ht="21" customHeight="1" spans="1:10" x14ac:dyDescent="0.25">
      <c r="A28" s="16" t="s">
        <v>73</v>
      </c>
      <c r="B28" s="13" t="s">
        <v>74</v>
      </c>
      <c r="C28" s="13" t="s">
        <v>75</v>
      </c>
      <c r="E28" s="59" t="s">
        <v>149</v>
      </c>
      <c r="F28" s="23"/>
      <c r="G28" s="24"/>
      <c r="H28" s="59" t="s">
        <v>150</v>
      </c>
      <c r="I28" s="23"/>
      <c r="J28" s="23"/>
    </row>
    <row r="29" ht="21" customHeight="1" spans="1:10" x14ac:dyDescent="0.25">
      <c r="A29" s="16" t="s">
        <v>76</v>
      </c>
      <c r="B29" s="13" t="s">
        <v>77</v>
      </c>
      <c r="C29" s="13" t="s">
        <v>78</v>
      </c>
      <c r="E29" s="59" t="s">
        <v>149</v>
      </c>
      <c r="F29" s="23"/>
      <c r="G29" s="24"/>
      <c r="H29" s="59" t="s">
        <v>150</v>
      </c>
      <c r="I29" s="23"/>
      <c r="J29" s="23"/>
    </row>
    <row r="30" ht="21" customHeight="1" spans="1:3" x14ac:dyDescent="0.25">
      <c r="A30" s="12" t="s">
        <v>79</v>
      </c>
      <c r="B30" s="17" t="e">
        <f>B5-B19</f>
        <v>#VALUE!</v>
      </c>
      <c r="C30" s="17" t="e">
        <f>C5-C19</f>
        <v>#VALUE!</v>
      </c>
    </row>
    <row r="31" ht="21" customHeight="1" spans="1:3" x14ac:dyDescent="0.25">
      <c r="A31" s="9" t="s">
        <v>80</v>
      </c>
      <c r="B31" s="9" t="s">
        <v>81</v>
      </c>
      <c r="C31" s="9" t="s">
        <v>82</v>
      </c>
    </row>
    <row r="32" spans="1:3" x14ac:dyDescent="0.25">
      <c r="A32" s="18"/>
      <c r="B32" s="19"/>
      <c r="C32" s="19"/>
    </row>
    <row r="33" spans="1:3" x14ac:dyDescent="0.25">
      <c r="A33" s="18"/>
      <c r="B33" s="19"/>
      <c r="C33" s="1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13" x14ac:dyDescent="0.25">
      <c r="A1" s="2" t="s">
        <v>0</v>
      </c>
      <c r="B1" s="3"/>
      <c r="C1" s="3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ht="21" customHeight="1" spans="1:13" x14ac:dyDescent="0.25">
      <c r="A2" s="5"/>
      <c r="B2" s="5" t="s">
        <v>154</v>
      </c>
      <c r="C2" s="6" t="s">
        <v>155</v>
      </c>
      <c r="D2" s="23"/>
      <c r="E2" s="23"/>
      <c r="F2" s="24"/>
      <c r="G2" s="23" t="s">
        <v>156</v>
      </c>
      <c r="H2" s="23"/>
      <c r="I2" s="23"/>
      <c r="J2" s="23"/>
      <c r="K2" s="23" t="s">
        <v>84</v>
      </c>
      <c r="L2" s="23"/>
      <c r="M2" s="25"/>
    </row>
    <row r="3" ht="21" customHeight="1" spans="1:13" x14ac:dyDescent="0.25">
      <c r="A3" s="9" t="s">
        <v>157</v>
      </c>
      <c r="B3" s="9"/>
      <c r="C3" s="9" t="s">
        <v>4</v>
      </c>
      <c r="D3" s="23"/>
      <c r="E3" s="23"/>
      <c r="F3" s="24"/>
      <c r="G3" s="23"/>
      <c r="H3" s="23"/>
      <c r="I3" s="23"/>
      <c r="J3" s="23"/>
      <c r="K3" s="23"/>
      <c r="L3" s="23"/>
      <c r="M3" s="25"/>
    </row>
    <row r="4" ht="21" customHeight="1" spans="1:13" x14ac:dyDescent="0.25">
      <c r="A4" s="11" t="s">
        <v>5</v>
      </c>
      <c r="B4" s="11" t="s">
        <v>6</v>
      </c>
      <c r="C4" s="11" t="s">
        <v>7</v>
      </c>
      <c r="D4" s="64"/>
      <c r="E4" s="27" t="s">
        <v>87</v>
      </c>
      <c r="F4" s="28" t="s">
        <v>88</v>
      </c>
      <c r="G4" s="29"/>
      <c r="H4" s="30"/>
      <c r="I4" s="27" t="s">
        <v>87</v>
      </c>
      <c r="J4" s="28" t="s">
        <v>89</v>
      </c>
      <c r="K4" s="31"/>
      <c r="L4" s="29"/>
      <c r="M4" s="25"/>
    </row>
    <row r="5" ht="21" customHeight="1" spans="1:13" x14ac:dyDescent="0.25">
      <c r="A5" s="12" t="s">
        <v>8</v>
      </c>
      <c r="B5" s="13">
        <f>B6+B8+B9+B10+B11+B12+B13+B14+B15+B16</f>
        <v>0</v>
      </c>
      <c r="C5" s="13">
        <f>C6+C8+C9+C10+C11+C12+C13+C14+C15+C16</f>
        <v>0</v>
      </c>
      <c r="D5" s="36" t="s">
        <v>93</v>
      </c>
      <c r="E5" s="33" t="s">
        <v>90</v>
      </c>
      <c r="F5" s="34" t="s">
        <v>91</v>
      </c>
      <c r="G5" s="35" t="s">
        <v>92</v>
      </c>
      <c r="H5" s="35" t="s">
        <v>93</v>
      </c>
      <c r="I5" s="33" t="s">
        <v>90</v>
      </c>
      <c r="J5" s="34" t="s">
        <v>91</v>
      </c>
      <c r="K5" s="36" t="s">
        <v>92</v>
      </c>
      <c r="L5" s="37" t="s">
        <v>93</v>
      </c>
      <c r="M5" s="38"/>
    </row>
    <row r="6" ht="21" customHeight="1" spans="1:13" x14ac:dyDescent="0.25">
      <c r="A6" s="14" t="s">
        <v>9</v>
      </c>
      <c r="B6" s="13">
        <f t="shared" ref="B6:B19" si="0">0</f>
        <v>0</v>
      </c>
      <c r="C6" s="13">
        <f t="shared" ref="C6:C19" si="1">0</f>
        <v>0</v>
      </c>
      <c r="D6" s="13">
        <f>0</f>
        <v>0</v>
      </c>
      <c r="E6" s="39">
        <v>501</v>
      </c>
      <c r="F6" s="40" t="s">
        <v>95</v>
      </c>
      <c r="G6" s="41">
        <f>0</f>
        <v>0</v>
      </c>
      <c r="H6" s="13">
        <f>0</f>
        <v>0</v>
      </c>
      <c r="I6" s="39">
        <v>306</v>
      </c>
      <c r="J6" s="40" t="s">
        <v>98</v>
      </c>
      <c r="K6" s="41">
        <f>C12-G12</f>
        <v>0</v>
      </c>
      <c r="L6" s="13">
        <f>D12-H12</f>
        <v>0</v>
      </c>
      <c r="M6" s="42" t="s">
        <v>99</v>
      </c>
    </row>
    <row r="7" ht="21" customHeight="1" spans="1:13" x14ac:dyDescent="0.25">
      <c r="A7" s="15" t="s">
        <v>12</v>
      </c>
      <c r="B7" s="13">
        <f t="shared" si="0"/>
        <v>0</v>
      </c>
      <c r="C7" s="13">
        <f t="shared" si="1"/>
        <v>0</v>
      </c>
      <c r="D7" s="13">
        <f>0</f>
        <v>0</v>
      </c>
      <c r="E7" s="39">
        <v>516</v>
      </c>
      <c r="F7" s="43" t="s">
        <v>101</v>
      </c>
      <c r="G7" s="41">
        <f>0</f>
        <v>0</v>
      </c>
      <c r="H7" s="13">
        <f>0</f>
        <v>0</v>
      </c>
      <c r="I7" s="39"/>
      <c r="J7" s="43" t="s">
        <v>104</v>
      </c>
      <c r="K7" s="41"/>
      <c r="L7" s="13"/>
      <c r="M7" s="44">
        <f>E11-I11</f>
        <v>0</v>
      </c>
    </row>
    <row r="8" ht="21" customHeight="1" spans="1:13" x14ac:dyDescent="0.25">
      <c r="A8" s="16" t="s">
        <v>15</v>
      </c>
      <c r="B8" s="13">
        <f t="shared" si="0"/>
        <v>0</v>
      </c>
      <c r="C8" s="13">
        <f t="shared" si="1"/>
        <v>0</v>
      </c>
      <c r="D8" s="13">
        <f>0</f>
        <v>0</v>
      </c>
      <c r="E8" s="39">
        <v>517</v>
      </c>
      <c r="F8" s="43" t="s">
        <v>106</v>
      </c>
      <c r="G8" s="41">
        <f>0</f>
        <v>0</v>
      </c>
      <c r="H8" s="13">
        <f>0</f>
        <v>0</v>
      </c>
      <c r="I8" s="39"/>
      <c r="J8" s="43" t="s">
        <v>109</v>
      </c>
      <c r="K8" s="41"/>
      <c r="L8" s="13"/>
      <c r="M8" s="45"/>
    </row>
    <row r="9" ht="21" customHeight="1" spans="1:13" x14ac:dyDescent="0.25">
      <c r="A9" s="16" t="s">
        <v>18</v>
      </c>
      <c r="B9" s="13">
        <f t="shared" si="0"/>
        <v>0</v>
      </c>
      <c r="C9" s="13">
        <f t="shared" si="1"/>
        <v>0</v>
      </c>
      <c r="D9" s="13">
        <f>0</f>
        <v>0</v>
      </c>
      <c r="E9" s="39">
        <v>504</v>
      </c>
      <c r="F9" s="43" t="s">
        <v>111</v>
      </c>
      <c r="G9" s="41">
        <f>0</f>
        <v>0</v>
      </c>
      <c r="H9" s="13">
        <f>0</f>
        <v>0</v>
      </c>
      <c r="I9" s="39"/>
      <c r="J9" s="24"/>
      <c r="K9" s="41"/>
      <c r="L9" s="13"/>
      <c r="M9" s="45"/>
    </row>
    <row r="10" ht="21" customHeight="1" spans="1:13" x14ac:dyDescent="0.25">
      <c r="A10" s="16" t="s">
        <v>21</v>
      </c>
      <c r="B10" s="13">
        <f t="shared" si="0"/>
        <v>0</v>
      </c>
      <c r="C10" s="13">
        <f t="shared" si="1"/>
        <v>0</v>
      </c>
      <c r="D10" s="13">
        <f>0</f>
        <v>0</v>
      </c>
      <c r="E10" s="39">
        <v>520</v>
      </c>
      <c r="F10" s="43" t="s">
        <v>115</v>
      </c>
      <c r="G10" s="41">
        <f>0</f>
        <v>0</v>
      </c>
      <c r="H10" s="13">
        <f>0</f>
        <v>0</v>
      </c>
      <c r="I10" s="39"/>
      <c r="J10" s="43"/>
      <c r="K10" s="41"/>
      <c r="L10" s="13"/>
      <c r="M10" s="45"/>
    </row>
    <row r="11" ht="21" customHeight="1" spans="1:13" x14ac:dyDescent="0.25">
      <c r="A11" s="14" t="s">
        <v>24</v>
      </c>
      <c r="B11" s="13">
        <f t="shared" si="0"/>
        <v>0</v>
      </c>
      <c r="C11" s="13">
        <f t="shared" si="1"/>
        <v>0</v>
      </c>
      <c r="D11" s="13"/>
      <c r="E11" s="39"/>
      <c r="F11" s="46"/>
      <c r="G11" s="41"/>
      <c r="H11" s="13"/>
      <c r="I11" s="39"/>
      <c r="J11" s="43"/>
      <c r="K11" s="41"/>
      <c r="L11" s="13"/>
      <c r="M11" s="47"/>
    </row>
    <row r="12" ht="21" customHeight="1" spans="1:13" x14ac:dyDescent="0.25">
      <c r="A12" s="14" t="s">
        <v>27</v>
      </c>
      <c r="B12" s="13">
        <f t="shared" si="0"/>
        <v>0</v>
      </c>
      <c r="C12" s="13">
        <f t="shared" si="1"/>
        <v>0</v>
      </c>
      <c r="D12" s="13">
        <f>D6+D7+D8+D9+D10+D11</f>
        <v>0</v>
      </c>
      <c r="E12" s="48"/>
      <c r="F12" s="49" t="s">
        <v>119</v>
      </c>
      <c r="G12" s="41">
        <f>G6+G7+G8+G9+G10+G11</f>
        <v>0</v>
      </c>
      <c r="H12" s="13">
        <f>H6+H7+H8+H9+H10+H11</f>
        <v>0</v>
      </c>
      <c r="I12" s="39"/>
      <c r="J12" s="43"/>
      <c r="K12" s="41"/>
      <c r="L12" s="13"/>
      <c r="M12" s="44">
        <f>E12-I12</f>
        <v>0</v>
      </c>
    </row>
    <row r="13" ht="21" customHeight="1" spans="1:13" x14ac:dyDescent="0.25">
      <c r="A13" s="14" t="s">
        <v>30</v>
      </c>
      <c r="B13" s="13">
        <f t="shared" si="0"/>
        <v>0</v>
      </c>
      <c r="C13" s="13">
        <f t="shared" si="1"/>
        <v>0</v>
      </c>
      <c r="D13" s="13">
        <f>0</f>
        <v>0</v>
      </c>
      <c r="E13" s="50">
        <v>505</v>
      </c>
      <c r="F13" s="40" t="s">
        <v>121</v>
      </c>
      <c r="G13" s="41">
        <f>0</f>
        <v>0</v>
      </c>
      <c r="H13" s="13">
        <f>0</f>
        <v>0</v>
      </c>
      <c r="I13" s="50">
        <v>307</v>
      </c>
      <c r="J13" s="43" t="s">
        <v>124</v>
      </c>
      <c r="K13" s="41">
        <f>C15-G15</f>
        <v>0</v>
      </c>
      <c r="L13" s="13">
        <f>D15-H15</f>
        <v>0</v>
      </c>
      <c r="M13" s="45"/>
    </row>
    <row r="14" ht="21" customHeight="1" spans="1:13" x14ac:dyDescent="0.25">
      <c r="A14" s="14" t="s">
        <v>33</v>
      </c>
      <c r="B14" s="13">
        <f t="shared" si="0"/>
        <v>0</v>
      </c>
      <c r="C14" s="13">
        <f t="shared" si="1"/>
        <v>0</v>
      </c>
      <c r="D14" s="13"/>
      <c r="E14" s="39">
        <v>512</v>
      </c>
      <c r="F14" s="46" t="s">
        <v>126</v>
      </c>
      <c r="G14" s="41">
        <f>0</f>
        <v>0</v>
      </c>
      <c r="H14" s="13">
        <f>0</f>
        <v>0</v>
      </c>
      <c r="I14" s="39"/>
      <c r="J14" s="43" t="s">
        <v>129</v>
      </c>
      <c r="K14" s="41"/>
      <c r="L14" s="13"/>
      <c r="M14" s="45"/>
    </row>
    <row r="15" ht="21" customHeight="1" spans="1:13" x14ac:dyDescent="0.25">
      <c r="A15" s="16" t="s">
        <v>158</v>
      </c>
      <c r="B15" s="13">
        <f t="shared" si="0"/>
        <v>0</v>
      </c>
      <c r="C15" s="13">
        <f t="shared" si="1"/>
        <v>0</v>
      </c>
      <c r="D15" s="13">
        <f>D13+D14</f>
        <v>0</v>
      </c>
      <c r="E15" s="48"/>
      <c r="F15" s="49" t="s">
        <v>119</v>
      </c>
      <c r="G15" s="41">
        <f>G13+G14</f>
        <v>0</v>
      </c>
      <c r="H15" s="13">
        <f>H13+H14</f>
        <v>0</v>
      </c>
      <c r="I15" s="39"/>
      <c r="J15" s="43" t="s">
        <v>131</v>
      </c>
      <c r="K15" s="41"/>
      <c r="L15" s="13"/>
      <c r="M15" s="47"/>
    </row>
    <row r="16" ht="21" customHeight="1" spans="1:13" x14ac:dyDescent="0.25">
      <c r="A16" s="16" t="s">
        <v>36</v>
      </c>
      <c r="B16" s="13">
        <f t="shared" si="0"/>
        <v>0</v>
      </c>
      <c r="C16" s="13">
        <f t="shared" si="1"/>
        <v>0</v>
      </c>
      <c r="D16" s="13">
        <f>0</f>
        <v>0</v>
      </c>
      <c r="E16" s="50">
        <v>502</v>
      </c>
      <c r="F16" s="40" t="s">
        <v>132</v>
      </c>
      <c r="G16" s="41">
        <f>0</f>
        <v>0</v>
      </c>
      <c r="H16" s="13">
        <f>0</f>
        <v>0</v>
      </c>
      <c r="I16" s="50">
        <v>308</v>
      </c>
      <c r="J16" s="43" t="s">
        <v>135</v>
      </c>
      <c r="K16" s="41">
        <f>K6+K13+C20-G20</f>
        <v>0</v>
      </c>
      <c r="L16" s="13">
        <f>L6+L13+D20-H20</f>
        <v>0</v>
      </c>
      <c r="M16" s="44">
        <f>M7+M12</f>
        <v>0</v>
      </c>
    </row>
    <row r="17" ht="21" customHeight="1" spans="1:13" x14ac:dyDescent="0.25">
      <c r="A17" s="16" t="s">
        <v>39</v>
      </c>
      <c r="B17" s="13">
        <f t="shared" si="0"/>
        <v>0</v>
      </c>
      <c r="C17" s="13">
        <f t="shared" si="1"/>
        <v>0</v>
      </c>
      <c r="D17" s="13"/>
      <c r="E17" s="39">
        <v>503</v>
      </c>
      <c r="F17" s="43" t="s">
        <v>136</v>
      </c>
      <c r="G17" s="41">
        <f>0</f>
        <v>0</v>
      </c>
      <c r="H17" s="13">
        <f>0</f>
        <v>0</v>
      </c>
      <c r="I17" s="39"/>
      <c r="J17" s="43" t="s">
        <v>139</v>
      </c>
      <c r="K17" s="41"/>
      <c r="L17" s="13"/>
      <c r="M17" s="45"/>
    </row>
    <row r="18" ht="21" customHeight="1" spans="1:13" x14ac:dyDescent="0.25">
      <c r="A18" s="16" t="s">
        <v>42</v>
      </c>
      <c r="B18" s="13">
        <f t="shared" si="0"/>
        <v>0</v>
      </c>
      <c r="C18" s="13">
        <f t="shared" si="1"/>
        <v>0</v>
      </c>
      <c r="D18" s="13"/>
      <c r="E18" s="39"/>
      <c r="F18" s="43"/>
      <c r="G18" s="41"/>
      <c r="H18" s="13"/>
      <c r="I18" s="39"/>
      <c r="J18" s="43" t="s">
        <v>140</v>
      </c>
      <c r="K18" s="41"/>
      <c r="L18" s="13"/>
      <c r="M18" s="45"/>
    </row>
    <row r="19" ht="21" customHeight="1" spans="1:13" x14ac:dyDescent="0.25">
      <c r="A19" s="16" t="s">
        <v>45</v>
      </c>
      <c r="B19" s="13">
        <f t="shared" si="0"/>
        <v>0</v>
      </c>
      <c r="C19" s="13">
        <f t="shared" si="1"/>
        <v>0</v>
      </c>
      <c r="D19" s="13"/>
      <c r="E19" s="39"/>
      <c r="F19" s="46"/>
      <c r="G19" s="41"/>
      <c r="H19" s="13"/>
      <c r="I19" s="39"/>
      <c r="J19" s="24" t="s">
        <v>142</v>
      </c>
      <c r="K19" s="41"/>
      <c r="L19" s="13"/>
      <c r="M19" s="45"/>
    </row>
    <row r="20" ht="21" customHeight="1" spans="1:13" x14ac:dyDescent="0.25">
      <c r="A20" s="12" t="s">
        <v>48</v>
      </c>
      <c r="B20" s="13">
        <f>B21+B22+B23+B24+B25+B26+B27+B28</f>
        <v>0</v>
      </c>
      <c r="C20" s="13">
        <f>C21+C22+C23+C24+C25+C26+C27+C28</f>
        <v>0</v>
      </c>
      <c r="D20" s="13">
        <f>D16+D17+D18+D19</f>
        <v>0</v>
      </c>
      <c r="E20" s="48"/>
      <c r="F20" s="51" t="s">
        <v>119</v>
      </c>
      <c r="G20" s="41">
        <f>G16+G17+G18+G19</f>
        <v>0</v>
      </c>
      <c r="H20" s="13">
        <f>H16+H17+H18+H19</f>
        <v>0</v>
      </c>
      <c r="I20" s="39"/>
      <c r="J20" s="46" t="s">
        <v>144</v>
      </c>
      <c r="K20" s="41"/>
      <c r="L20" s="13"/>
      <c r="M20" s="52"/>
    </row>
    <row r="21" ht="21" customHeight="1" spans="1:12" x14ac:dyDescent="0.25">
      <c r="A21" s="14" t="s">
        <v>49</v>
      </c>
      <c r="B21" s="13">
        <f t="shared" ref="B21:B30" si="2">0</f>
        <v>0</v>
      </c>
      <c r="C21" s="13">
        <f t="shared" ref="C21:C30" si="3">0</f>
        <v>0</v>
      </c>
      <c r="D21" s="55">
        <f>D12+D15+D20</f>
        <v>0</v>
      </c>
      <c r="E21" s="53" t="s">
        <v>146</v>
      </c>
      <c r="F21" s="53"/>
      <c r="G21" s="54">
        <f>G12+G15+G20</f>
        <v>0</v>
      </c>
      <c r="H21" s="55">
        <f>H12+H15+H20</f>
        <v>0</v>
      </c>
      <c r="I21" s="56"/>
      <c r="J21" s="57"/>
      <c r="K21" s="54"/>
      <c r="L21" s="55"/>
    </row>
    <row r="22" ht="21" customHeight="1" spans="1:3" x14ac:dyDescent="0.25">
      <c r="A22" s="14" t="s">
        <v>52</v>
      </c>
      <c r="B22" s="13">
        <f t="shared" si="2"/>
        <v>0</v>
      </c>
      <c r="C22" s="13">
        <f t="shared" si="3"/>
        <v>0</v>
      </c>
    </row>
    <row r="23" ht="21" customHeight="1" spans="1:12" x14ac:dyDescent="0.25">
      <c r="A23" s="14" t="s">
        <v>55</v>
      </c>
      <c r="B23" s="13">
        <f t="shared" si="2"/>
        <v>0</v>
      </c>
      <c r="C23" s="13">
        <f t="shared" si="3"/>
        <v>0</v>
      </c>
      <c r="D23" s="23"/>
      <c r="E23" s="23"/>
      <c r="F23" s="59" t="s">
        <v>149</v>
      </c>
      <c r="G23" s="23"/>
      <c r="H23" s="24"/>
      <c r="I23" s="24"/>
      <c r="J23" s="59" t="s">
        <v>150</v>
      </c>
      <c r="K23" s="23"/>
      <c r="L23" s="23"/>
    </row>
    <row r="24" ht="21" customHeight="1" spans="1:10" x14ac:dyDescent="0.25">
      <c r="A24" s="14" t="s">
        <v>58</v>
      </c>
      <c r="B24" s="13">
        <f t="shared" si="2"/>
        <v>0</v>
      </c>
      <c r="C24" s="13">
        <f t="shared" si="3"/>
        <v>0</v>
      </c>
      <c r="D24" s="13"/>
      <c r="E24" s="60"/>
      <c r="F24" s="13"/>
      <c r="G24" s="13"/>
      <c r="H24" s="60"/>
      <c r="I24" s="13"/>
      <c r="J24" s="13"/>
    </row>
    <row r="25" ht="21" customHeight="1" spans="1:10" x14ac:dyDescent="0.25">
      <c r="A25" s="14" t="s">
        <v>61</v>
      </c>
      <c r="B25" s="13">
        <f t="shared" si="2"/>
        <v>0</v>
      </c>
      <c r="C25" s="13">
        <f t="shared" si="3"/>
        <v>0</v>
      </c>
      <c r="D25" s="13">
        <f>D20+D21+D22+D23</f>
        <v>0</v>
      </c>
      <c r="E25" s="61" t="s">
        <v>119</v>
      </c>
      <c r="F25" s="13" t="e">
        <f>F20+F21+F22+F23</f>
        <v>#VALUE!</v>
      </c>
      <c r="G25" s="13">
        <f>G20+G21+G22+G23</f>
        <v>0</v>
      </c>
      <c r="H25" s="60" t="s">
        <v>142</v>
      </c>
      <c r="I25" s="13"/>
      <c r="J25" s="13"/>
    </row>
    <row r="26" ht="21" customHeight="1" spans="1:10" x14ac:dyDescent="0.25">
      <c r="A26" s="14" t="s">
        <v>64</v>
      </c>
      <c r="B26" s="13">
        <f t="shared" si="2"/>
        <v>0</v>
      </c>
      <c r="C26" s="13">
        <f t="shared" si="3"/>
        <v>0</v>
      </c>
      <c r="D26" s="55">
        <f>D13+D19+D25</f>
        <v>0</v>
      </c>
      <c r="E26" s="62" t="s">
        <v>153</v>
      </c>
      <c r="F26" s="55" t="e">
        <f>F13+F19+F25</f>
        <v>#VALUE!</v>
      </c>
      <c r="G26" s="55">
        <f>G13+G19+G25</f>
        <v>0</v>
      </c>
      <c r="H26" s="40" t="s">
        <v>144</v>
      </c>
      <c r="I26" s="55"/>
      <c r="J26" s="55"/>
    </row>
    <row r="27" ht="21" customHeight="1" spans="1:3" x14ac:dyDescent="0.25">
      <c r="A27" s="14" t="s">
        <v>67</v>
      </c>
      <c r="B27" s="13">
        <f t="shared" si="2"/>
        <v>0</v>
      </c>
      <c r="C27" s="13">
        <f t="shared" si="3"/>
        <v>0</v>
      </c>
    </row>
    <row r="28" ht="21" customHeight="1" spans="1:10" x14ac:dyDescent="0.25">
      <c r="A28" s="14" t="s">
        <v>70</v>
      </c>
      <c r="B28" s="13">
        <f t="shared" si="2"/>
        <v>0</v>
      </c>
      <c r="C28" s="13">
        <f t="shared" si="3"/>
        <v>0</v>
      </c>
      <c r="D28" s="23"/>
      <c r="E28" s="59" t="s">
        <v>149</v>
      </c>
      <c r="F28" s="23"/>
      <c r="G28" s="24"/>
      <c r="H28" s="59" t="s">
        <v>150</v>
      </c>
      <c r="I28" s="23"/>
      <c r="J28" s="23"/>
    </row>
    <row r="29" ht="21" customHeight="1" spans="1:3" x14ac:dyDescent="0.25">
      <c r="A29" s="16" t="s">
        <v>73</v>
      </c>
      <c r="B29" s="13">
        <f t="shared" si="2"/>
        <v>0</v>
      </c>
      <c r="C29" s="13">
        <f t="shared" si="3"/>
        <v>0</v>
      </c>
    </row>
    <row r="30" ht="21" customHeight="1" spans="1:3" x14ac:dyDescent="0.25">
      <c r="A30" s="16" t="s">
        <v>76</v>
      </c>
      <c r="B30" s="13">
        <f t="shared" si="2"/>
        <v>0</v>
      </c>
      <c r="C30" s="13">
        <f t="shared" si="3"/>
        <v>0</v>
      </c>
    </row>
    <row r="31" ht="21" customHeight="1" spans="1:3" x14ac:dyDescent="0.25">
      <c r="A31" s="12" t="s">
        <v>79</v>
      </c>
      <c r="B31" s="17">
        <f>B5-B20</f>
        <v>0</v>
      </c>
      <c r="C31" s="17">
        <f>C5-C20</f>
        <v>0</v>
      </c>
    </row>
    <row r="32" ht="21" customHeight="1" spans="1:3" x14ac:dyDescent="0.25">
      <c r="A32" s="9" t="s">
        <v>80</v>
      </c>
      <c r="B32" s="9" t="s">
        <v>81</v>
      </c>
      <c r="C32" s="9" t="s">
        <v>82</v>
      </c>
    </row>
    <row r="33" spans="1:3" x14ac:dyDescent="0.25">
      <c r="A33" s="18"/>
      <c r="B33" s="19"/>
      <c r="C33" s="1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工会事业单位收入支出表(定义)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2026-05-19T09:25:43Z</dcterms:created>
  <dcterms:modified xsi:type="dcterms:W3CDTF">2026-05-19T09:25:51Z</dcterms:modified>
</cp:coreProperties>
</file>